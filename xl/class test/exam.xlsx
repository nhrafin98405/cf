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rafin\cf\xl\class test\"/>
    </mc:Choice>
  </mc:AlternateContent>
  <xr:revisionPtr revIDLastSave="0" documentId="13_ncr:1_{E40CE967-F7FC-45CE-9D8E-FDBFFCDE752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1" i="2" l="1"/>
  <c r="L12" i="2"/>
  <c r="L13" i="2"/>
  <c r="L14" i="2"/>
  <c r="L10" i="2"/>
  <c r="K11" i="2"/>
  <c r="K12" i="2"/>
  <c r="K13" i="2"/>
  <c r="K14" i="2"/>
  <c r="K10" i="2"/>
  <c r="J11" i="2"/>
  <c r="J12" i="2"/>
  <c r="J13" i="2"/>
  <c r="J14" i="2"/>
  <c r="J10" i="2"/>
  <c r="I11" i="2"/>
  <c r="I12" i="2"/>
  <c r="I13" i="2"/>
  <c r="I14" i="2"/>
  <c r="I10" i="2"/>
  <c r="L10" i="1"/>
  <c r="L11" i="1"/>
  <c r="L12" i="1"/>
  <c r="L13" i="1"/>
  <c r="L14" i="1"/>
  <c r="L15" i="1"/>
  <c r="L16" i="1"/>
  <c r="L17" i="1"/>
  <c r="L18" i="1"/>
  <c r="L9" i="1"/>
  <c r="K10" i="1"/>
  <c r="K11" i="1"/>
  <c r="K12" i="1"/>
  <c r="K13" i="1"/>
  <c r="K14" i="1"/>
  <c r="K15" i="1"/>
  <c r="K16" i="1"/>
  <c r="K17" i="1"/>
  <c r="K18" i="1"/>
  <c r="K9" i="1"/>
</calcChain>
</file>

<file path=xl/sharedStrings.xml><?xml version="1.0" encoding="utf-8"?>
<sst xmlns="http://schemas.openxmlformats.org/spreadsheetml/2006/main" count="28" uniqueCount="28">
  <si>
    <t>SRNO</t>
  </si>
  <si>
    <t>ITEMS</t>
  </si>
  <si>
    <t>QTY</t>
  </si>
  <si>
    <t>RATE</t>
  </si>
  <si>
    <t>AMOUNT</t>
  </si>
  <si>
    <t>GRADE</t>
  </si>
  <si>
    <t>AC</t>
  </si>
  <si>
    <t>FRIDGE</t>
  </si>
  <si>
    <t>COOLER</t>
  </si>
  <si>
    <t>WASHING MACHINE</t>
  </si>
  <si>
    <t>TV</t>
  </si>
  <si>
    <t>FAN</t>
  </si>
  <si>
    <t xml:space="preserve">COMPUTER </t>
  </si>
  <si>
    <t>KEYBOARD</t>
  </si>
  <si>
    <t>MOUSE</t>
  </si>
  <si>
    <t>PRINTER</t>
  </si>
  <si>
    <t>Employee ID</t>
  </si>
  <si>
    <t>Name</t>
  </si>
  <si>
    <t>Basic Pay</t>
  </si>
  <si>
    <t>House Rent</t>
  </si>
  <si>
    <t>Medical Allowance</t>
  </si>
  <si>
    <t>Transport</t>
  </si>
  <si>
    <t>Gross Pay</t>
  </si>
  <si>
    <t>Niaz</t>
  </si>
  <si>
    <t>Hasan</t>
  </si>
  <si>
    <t>Rafin</t>
  </si>
  <si>
    <t>Fahim</t>
  </si>
  <si>
    <t>Rijon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</si>
</sst>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G8:L18"/>
  <sheetViews>
    <sheetView workbookViewId="0">
      <selection activeCell="E20" sqref="E20"/>
    </sheetView>
  </sheetViews>
  <sheetFormatPr defaultRowHeight="15" x14ac:dyDescent="0.25"/>
  <cols>
    <col min="8" max="8" width="24.5703125" customWidth="1"/>
    <col min="12" max="12" width="10" bestFit="1" customWidth="1"/>
  </cols>
  <sheetData>
    <row r="8" spans="7:12" x14ac:dyDescent="0.25">
      <c r="G8" s="3" t="s">
        <v>0</v>
      </c>
      <c r="H8" s="3" t="s">
        <v>1</v>
      </c>
      <c r="I8" s="3" t="s">
        <v>2</v>
      </c>
      <c r="J8" s="3" t="s">
        <v>3</v>
      </c>
      <c r="K8" s="3" t="s">
        <v>4</v>
      </c>
      <c r="L8" s="3" t="s">
        <v>5</v>
      </c>
    </row>
    <row r="9" spans="7:12" x14ac:dyDescent="0.25">
      <c r="G9" s="1">
        <v>1</v>
      </c>
      <c r="H9" s="2" t="s">
        <v>6</v>
      </c>
      <c r="I9" s="2">
        <v>20</v>
      </c>
      <c r="J9" s="2">
        <v>40000</v>
      </c>
      <c r="K9" s="2">
        <f>I9*J9</f>
        <v>800000</v>
      </c>
      <c r="L9" s="2" t="str">
        <f>IF(K9&gt;500000,"Expensive","Lets Buy it")</f>
        <v>Expensive</v>
      </c>
    </row>
    <row r="10" spans="7:12" x14ac:dyDescent="0.25">
      <c r="G10" s="1">
        <v>2</v>
      </c>
      <c r="H10" s="2" t="s">
        <v>7</v>
      </c>
      <c r="I10" s="2">
        <v>30</v>
      </c>
      <c r="J10" s="2">
        <v>20000</v>
      </c>
      <c r="K10" s="2">
        <f t="shared" ref="K10:K18" si="0">I10*J10</f>
        <v>600000</v>
      </c>
      <c r="L10" s="2" t="str">
        <f t="shared" ref="L10:L18" si="1">IF(K10&gt;500000,"Expensive","Lets Buy it")</f>
        <v>Expensive</v>
      </c>
    </row>
    <row r="11" spans="7:12" x14ac:dyDescent="0.25">
      <c r="G11" s="1">
        <v>3</v>
      </c>
      <c r="H11" s="2" t="s">
        <v>8</v>
      </c>
      <c r="I11" s="2">
        <v>15</v>
      </c>
      <c r="J11" s="2">
        <v>10000</v>
      </c>
      <c r="K11" s="2">
        <f t="shared" si="0"/>
        <v>150000</v>
      </c>
      <c r="L11" s="2" t="str">
        <f t="shared" si="1"/>
        <v>Lets Buy it</v>
      </c>
    </row>
    <row r="12" spans="7:12" x14ac:dyDescent="0.25">
      <c r="G12" s="1">
        <v>4</v>
      </c>
      <c r="H12" s="2" t="s">
        <v>9</v>
      </c>
      <c r="I12" s="2">
        <v>14</v>
      </c>
      <c r="J12" s="2">
        <v>15000</v>
      </c>
      <c r="K12" s="2">
        <f t="shared" si="0"/>
        <v>210000</v>
      </c>
      <c r="L12" s="2" t="str">
        <f t="shared" si="1"/>
        <v>Lets Buy it</v>
      </c>
    </row>
    <row r="13" spans="7:12" x14ac:dyDescent="0.25">
      <c r="G13" s="1">
        <v>5</v>
      </c>
      <c r="H13" s="2" t="s">
        <v>10</v>
      </c>
      <c r="I13" s="2">
        <v>18</v>
      </c>
      <c r="J13" s="2">
        <v>20000</v>
      </c>
      <c r="K13" s="2">
        <f t="shared" si="0"/>
        <v>360000</v>
      </c>
      <c r="L13" s="2" t="str">
        <f t="shared" si="1"/>
        <v>Lets Buy it</v>
      </c>
    </row>
    <row r="14" spans="7:12" x14ac:dyDescent="0.25">
      <c r="G14" s="1">
        <v>6</v>
      </c>
      <c r="H14" s="2" t="s">
        <v>11</v>
      </c>
      <c r="I14" s="2">
        <v>17</v>
      </c>
      <c r="J14" s="2">
        <v>2000</v>
      </c>
      <c r="K14" s="2">
        <f t="shared" si="0"/>
        <v>34000</v>
      </c>
      <c r="L14" s="2" t="str">
        <f t="shared" si="1"/>
        <v>Lets Buy it</v>
      </c>
    </row>
    <row r="15" spans="7:12" x14ac:dyDescent="0.25">
      <c r="G15" s="1">
        <v>7</v>
      </c>
      <c r="H15" s="2" t="s">
        <v>12</v>
      </c>
      <c r="I15" s="2">
        <v>10</v>
      </c>
      <c r="J15" s="2">
        <v>25000</v>
      </c>
      <c r="K15" s="2">
        <f t="shared" si="0"/>
        <v>250000</v>
      </c>
      <c r="L15" s="2" t="str">
        <f t="shared" si="1"/>
        <v>Lets Buy it</v>
      </c>
    </row>
    <row r="16" spans="7:12" x14ac:dyDescent="0.25">
      <c r="G16" s="1">
        <v>8</v>
      </c>
      <c r="H16" s="2" t="s">
        <v>13</v>
      </c>
      <c r="I16" s="2">
        <v>5</v>
      </c>
      <c r="J16" s="2">
        <v>250</v>
      </c>
      <c r="K16" s="2">
        <f t="shared" si="0"/>
        <v>1250</v>
      </c>
      <c r="L16" s="2" t="str">
        <f t="shared" si="1"/>
        <v>Lets Buy it</v>
      </c>
    </row>
    <row r="17" spans="7:12" x14ac:dyDescent="0.25">
      <c r="G17" s="1">
        <v>9</v>
      </c>
      <c r="H17" s="2" t="s">
        <v>14</v>
      </c>
      <c r="I17" s="2">
        <v>25</v>
      </c>
      <c r="J17" s="2">
        <v>100</v>
      </c>
      <c r="K17" s="2">
        <f t="shared" si="0"/>
        <v>2500</v>
      </c>
      <c r="L17" s="2" t="str">
        <f t="shared" si="1"/>
        <v>Lets Buy it</v>
      </c>
    </row>
    <row r="18" spans="7:12" x14ac:dyDescent="0.25">
      <c r="G18" s="1">
        <v>10</v>
      </c>
      <c r="H18" s="2" t="s">
        <v>15</v>
      </c>
      <c r="I18" s="2">
        <v>30</v>
      </c>
      <c r="J18" s="2">
        <v>12000</v>
      </c>
      <c r="K18" s="2">
        <f t="shared" si="0"/>
        <v>360000</v>
      </c>
      <c r="L18" s="2" t="str">
        <f t="shared" si="1"/>
        <v>Lets Buy it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F3C06-CBA2-417A-BC45-6C37F5DCD183}">
  <dimension ref="F9:L14"/>
  <sheetViews>
    <sheetView tabSelected="1" workbookViewId="0">
      <selection activeCell="J14" sqref="J14"/>
    </sheetView>
  </sheetViews>
  <sheetFormatPr defaultRowHeight="15" x14ac:dyDescent="0.25"/>
  <cols>
    <col min="6" max="7" width="13.7109375" customWidth="1"/>
    <col min="8" max="8" width="12.7109375" customWidth="1"/>
    <col min="9" max="9" width="15.85546875" customWidth="1"/>
    <col min="10" max="10" width="22.140625" customWidth="1"/>
    <col min="11" max="11" width="13.140625" customWidth="1"/>
    <col min="12" max="12" width="12.85546875" customWidth="1"/>
  </cols>
  <sheetData>
    <row r="9" spans="6:12" x14ac:dyDescent="0.25">
      <c r="F9" s="1" t="s">
        <v>16</v>
      </c>
      <c r="G9" s="1" t="s">
        <v>17</v>
      </c>
      <c r="H9" s="1" t="s">
        <v>18</v>
      </c>
      <c r="I9" s="1" t="s">
        <v>19</v>
      </c>
      <c r="J9" s="1" t="s">
        <v>20</v>
      </c>
      <c r="K9" s="1" t="s">
        <v>21</v>
      </c>
      <c r="L9" s="1" t="s">
        <v>22</v>
      </c>
    </row>
    <row r="10" spans="6:12" x14ac:dyDescent="0.25">
      <c r="F10" s="1">
        <v>454</v>
      </c>
      <c r="G10" s="1" t="s">
        <v>23</v>
      </c>
      <c r="H10" s="1">
        <v>50000</v>
      </c>
      <c r="I10" s="1">
        <f>H10*30%</f>
        <v>15000</v>
      </c>
      <c r="J10" s="1">
        <f>H10*10%</f>
        <v>5000</v>
      </c>
      <c r="K10" s="1">
        <f>H10*8%</f>
        <v>4000</v>
      </c>
      <c r="L10" s="1">
        <f>SUM(H10:K10)</f>
        <v>74000</v>
      </c>
    </row>
    <row r="11" spans="6:12" x14ac:dyDescent="0.25">
      <c r="F11" s="1">
        <v>455</v>
      </c>
      <c r="G11" s="1" t="s">
        <v>24</v>
      </c>
      <c r="H11" s="1">
        <v>45000</v>
      </c>
      <c r="I11" s="1">
        <f t="shared" ref="I11:I14" si="0">H11*30%</f>
        <v>13500</v>
      </c>
      <c r="J11" s="1">
        <f t="shared" ref="J11:J14" si="1">H11*10%</f>
        <v>4500</v>
      </c>
      <c r="K11" s="1">
        <f t="shared" ref="K11:K14" si="2">H11*8%</f>
        <v>3600</v>
      </c>
      <c r="L11" s="1">
        <f t="shared" ref="L11:L14" si="3">SUM(H11:K11)</f>
        <v>66600</v>
      </c>
    </row>
    <row r="12" spans="6:12" x14ac:dyDescent="0.25">
      <c r="F12" s="1">
        <v>526546</v>
      </c>
      <c r="G12" s="1" t="s">
        <v>25</v>
      </c>
      <c r="H12" s="1">
        <v>50000</v>
      </c>
      <c r="I12" s="1">
        <f t="shared" si="0"/>
        <v>15000</v>
      </c>
      <c r="J12" s="1">
        <f t="shared" si="1"/>
        <v>5000</v>
      </c>
      <c r="K12" s="1">
        <f t="shared" si="2"/>
        <v>4000</v>
      </c>
      <c r="L12" s="1">
        <f t="shared" si="3"/>
        <v>74000</v>
      </c>
    </row>
    <row r="13" spans="6:12" x14ac:dyDescent="0.25">
      <c r="F13" s="1">
        <v>55</v>
      </c>
      <c r="G13" s="1" t="s">
        <v>26</v>
      </c>
      <c r="H13" s="1">
        <v>40000</v>
      </c>
      <c r="I13" s="1">
        <f t="shared" si="0"/>
        <v>12000</v>
      </c>
      <c r="J13" s="1">
        <f t="shared" si="1"/>
        <v>4000</v>
      </c>
      <c r="K13" s="1">
        <f t="shared" si="2"/>
        <v>3200</v>
      </c>
      <c r="L13" s="1">
        <f t="shared" si="3"/>
        <v>59200</v>
      </c>
    </row>
    <row r="14" spans="6:12" x14ac:dyDescent="0.25">
      <c r="F14" s="1">
        <v>4554</v>
      </c>
      <c r="G14" s="1" t="s">
        <v>27</v>
      </c>
      <c r="H14" s="1">
        <v>55000</v>
      </c>
      <c r="I14" s="1">
        <f t="shared" si="0"/>
        <v>16500</v>
      </c>
      <c r="J14" s="1">
        <f t="shared" si="1"/>
        <v>5500</v>
      </c>
      <c r="K14" s="1">
        <f t="shared" si="2"/>
        <v>4400</v>
      </c>
      <c r="L14" s="1">
        <f t="shared" si="3"/>
        <v>81400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WDPF PC-08</dc:creator>
  <cp:lastModifiedBy>WDPF PC-08</cp:lastModifiedBy>
  <dcterms:created xsi:type="dcterms:W3CDTF">2015-06-05T18:17:20Z</dcterms:created>
  <dcterms:modified xsi:type="dcterms:W3CDTF">2026-01-25T07:03:11Z</dcterms:modified>
</cp:coreProperties>
</file>