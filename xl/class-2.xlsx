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afin\xl\"/>
    </mc:Choice>
  </mc:AlternateContent>
  <xr:revisionPtr revIDLastSave="0" documentId="13_ncr:1_{A9F965DA-0D5B-4C2D-966D-DF35BAE16F4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6" i="3"/>
  <c r="G5" i="3"/>
  <c r="G2" i="3"/>
  <c r="G7" i="3"/>
  <c r="G8" i="3"/>
  <c r="G9" i="3"/>
  <c r="G10" i="3"/>
  <c r="G11" i="3"/>
  <c r="G12" i="3"/>
  <c r="G4" i="3"/>
  <c r="F23" i="2"/>
  <c r="G23" i="2"/>
  <c r="F19" i="2"/>
  <c r="H8" i="2"/>
  <c r="H9" i="2"/>
  <c r="H10" i="2"/>
  <c r="H11" i="2"/>
  <c r="H12" i="2"/>
  <c r="H13" i="2"/>
  <c r="H14" i="2"/>
  <c r="H15" i="2"/>
  <c r="H16" i="2"/>
  <c r="H7" i="2"/>
  <c r="P24" i="1"/>
  <c r="R24" i="1" s="1"/>
  <c r="P22" i="1"/>
  <c r="R22" i="1" s="1"/>
  <c r="P23" i="1"/>
  <c r="R23" i="1" s="1"/>
  <c r="P25" i="1"/>
  <c r="R25" i="1" s="1"/>
  <c r="P26" i="1"/>
  <c r="R26" i="1" s="1"/>
  <c r="P27" i="1"/>
  <c r="R27" i="1" s="1"/>
  <c r="P28" i="1"/>
  <c r="R28" i="1" s="1"/>
  <c r="P29" i="1"/>
  <c r="R29" i="1" s="1"/>
  <c r="P30" i="1"/>
  <c r="R30" i="1" s="1"/>
  <c r="P31" i="1"/>
  <c r="R31" i="1" s="1"/>
  <c r="P32" i="1"/>
  <c r="R32" i="1" s="1"/>
  <c r="P33" i="1"/>
  <c r="R33" i="1" s="1"/>
  <c r="P34" i="1"/>
  <c r="R34" i="1" s="1"/>
  <c r="P35" i="1"/>
  <c r="R35" i="1" s="1"/>
  <c r="P36" i="1"/>
  <c r="R36" i="1" s="1"/>
  <c r="P37" i="1"/>
  <c r="R37" i="1" s="1"/>
  <c r="P38" i="1"/>
  <c r="R38" i="1" s="1"/>
  <c r="P39" i="1"/>
  <c r="R39" i="1" s="1"/>
  <c r="P40" i="1"/>
  <c r="R40" i="1" s="1"/>
  <c r="O43" i="1"/>
  <c r="M43" i="1"/>
  <c r="T39" i="1" l="1"/>
  <c r="U39" i="1" s="1"/>
  <c r="T35" i="1"/>
  <c r="U35" i="1" s="1"/>
  <c r="S43" i="1" s="1"/>
  <c r="T31" i="1"/>
  <c r="U31" i="1" s="1"/>
  <c r="T27" i="1"/>
  <c r="U27" i="1" s="1"/>
  <c r="T23" i="1"/>
  <c r="U23" i="1" s="1"/>
  <c r="T38" i="1"/>
  <c r="U38" i="1" s="1"/>
  <c r="T34" i="1"/>
  <c r="U34" i="1" s="1"/>
  <c r="T30" i="1"/>
  <c r="U30" i="1" s="1"/>
  <c r="T26" i="1"/>
  <c r="U26" i="1" s="1"/>
  <c r="T22" i="1"/>
  <c r="U22" i="1" s="1"/>
  <c r="T37" i="1"/>
  <c r="U37" i="1" s="1"/>
  <c r="T33" i="1"/>
  <c r="U33" i="1" s="1"/>
  <c r="T29" i="1"/>
  <c r="U29" i="1" s="1"/>
  <c r="T25" i="1"/>
  <c r="U25" i="1" s="1"/>
  <c r="T40" i="1"/>
  <c r="U40" i="1" s="1"/>
  <c r="T36" i="1"/>
  <c r="U36" i="1" s="1"/>
  <c r="T32" i="1"/>
  <c r="U32" i="1" s="1"/>
  <c r="T28" i="1"/>
  <c r="U28" i="1" s="1"/>
  <c r="T24" i="1"/>
  <c r="U24" i="1" s="1"/>
  <c r="Q43" i="1"/>
</calcChain>
</file>

<file path=xl/sharedStrings.xml><?xml version="1.0" encoding="utf-8"?>
<sst xmlns="http://schemas.openxmlformats.org/spreadsheetml/2006/main" count="75" uniqueCount="54">
  <si>
    <t>name</t>
  </si>
  <si>
    <t>hasan</t>
  </si>
  <si>
    <t>salary</t>
  </si>
  <si>
    <t>cost</t>
  </si>
  <si>
    <t>earn</t>
  </si>
  <si>
    <t>avg</t>
  </si>
  <si>
    <t>max</t>
  </si>
  <si>
    <t>min</t>
  </si>
  <si>
    <t>total salary</t>
  </si>
  <si>
    <t>total cost</t>
  </si>
  <si>
    <t>total earn</t>
  </si>
  <si>
    <t>total avg</t>
  </si>
  <si>
    <t>saving persantage</t>
  </si>
  <si>
    <t>sl</t>
  </si>
  <si>
    <t>number of stock</t>
  </si>
  <si>
    <t>value of each item</t>
  </si>
  <si>
    <t>total value in stock</t>
  </si>
  <si>
    <t>,m.</t>
  </si>
  <si>
    <t>nhrafin98405@gmail.com</t>
  </si>
  <si>
    <t>address</t>
  </si>
  <si>
    <t>tithi</t>
  </si>
  <si>
    <t>saiful azam</t>
  </si>
  <si>
    <t>shadmaan</t>
  </si>
  <si>
    <t>siraat</t>
  </si>
  <si>
    <t>nusaybah</t>
  </si>
  <si>
    <t>samiha</t>
  </si>
  <si>
    <t>nilufer</t>
  </si>
  <si>
    <t>ira</t>
  </si>
  <si>
    <t>brishti</t>
  </si>
  <si>
    <t>atoshi</t>
  </si>
  <si>
    <t>marjiya</t>
  </si>
  <si>
    <t>azimpur</t>
  </si>
  <si>
    <t>dhaka</t>
  </si>
  <si>
    <t>jatrabari</t>
  </si>
  <si>
    <t>nilkhet</t>
  </si>
  <si>
    <t>kathalbagan</t>
  </si>
  <si>
    <t>buet</t>
  </si>
  <si>
    <t>hatirpool</t>
  </si>
  <si>
    <t>gausia</t>
  </si>
  <si>
    <t>zigatola</t>
  </si>
  <si>
    <t>shyamoli</t>
  </si>
  <si>
    <t>contact</t>
  </si>
  <si>
    <t>01858683655</t>
  </si>
  <si>
    <t>01858683656</t>
  </si>
  <si>
    <t>01858683657</t>
  </si>
  <si>
    <t>01858683658</t>
  </si>
  <si>
    <t>01858683659</t>
  </si>
  <si>
    <t>01858683660</t>
  </si>
  <si>
    <t>01858683661</t>
  </si>
  <si>
    <t>01858683662</t>
  </si>
  <si>
    <t>01858683663</t>
  </si>
  <si>
    <t>01858683664</t>
  </si>
  <si>
    <t>01858683665</t>
  </si>
  <si>
    <t>joining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</si>
</sst>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mm/dd/yy;@"/>
    <numFmt numFmtId="167" formatCode="#,##0.00\ [$₽-444]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3" xfId="4" applyBorder="1"/>
    <xf numFmtId="0" fontId="3" fillId="0" borderId="4" xfId="4" applyBorder="1"/>
    <xf numFmtId="0" fontId="3" fillId="0" borderId="5" xfId="4" applyBorder="1"/>
    <xf numFmtId="0" fontId="3" fillId="0" borderId="2" xfId="4" applyBorder="1"/>
    <xf numFmtId="0" fontId="3" fillId="0" borderId="6" xfId="4" applyBorder="1"/>
    <xf numFmtId="0" fontId="0" fillId="0" borderId="7" xfId="0" applyBorder="1"/>
    <xf numFmtId="0" fontId="2" fillId="2" borderId="8" xfId="3" applyBorder="1"/>
    <xf numFmtId="0" fontId="4" fillId="0" borderId="0" xfId="5"/>
    <xf numFmtId="49" fontId="0" fillId="0" borderId="0" xfId="0" applyNumberFormat="1"/>
    <xf numFmtId="165" fontId="0" fillId="0" borderId="0" xfId="0" applyNumberFormat="1"/>
    <xf numFmtId="167" fontId="0" fillId="0" borderId="0" xfId="1" applyNumberFormat="1" applyFont="1"/>
    <xf numFmtId="0" fontId="6" fillId="0" borderId="0" xfId="0" applyFont="1"/>
    <xf numFmtId="0" fontId="0" fillId="0" borderId="0" xfId="0" applyFont="1" applyAlignment="1"/>
    <xf numFmtId="0" fontId="6" fillId="0" borderId="0" xfId="0" applyFont="1" applyAlignment="1"/>
    <xf numFmtId="9" fontId="0" fillId="0" borderId="0" xfId="2" applyFont="1"/>
  </cellXfs>
  <cellStyles count="6">
    <cellStyle name="Check Cell" xfId="3" builtinId="23"/>
    <cellStyle name="Currency" xfId="1" builtinId="4"/>
    <cellStyle name="Hyperlink" xfId="5" builtinId="8"/>
    <cellStyle name="Normal" xfId="0" builtinId="0"/>
    <cellStyle name="Percent" xfId="2" builtinId="5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hrafin984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0:U43"/>
  <sheetViews>
    <sheetView topLeftCell="A22" workbookViewId="0">
      <selection activeCell="R43" sqref="R43"/>
    </sheetView>
  </sheetViews>
  <sheetFormatPr defaultRowHeight="15" x14ac:dyDescent="0.25"/>
  <cols>
    <col min="1" max="1" width="9.28515625" bestFit="1" customWidth="1"/>
    <col min="2" max="2" width="10.5703125" customWidth="1"/>
    <col min="3" max="3" width="11.140625" bestFit="1" customWidth="1"/>
    <col min="4" max="4" width="11" customWidth="1"/>
    <col min="5" max="5" width="9.28515625" bestFit="1" customWidth="1"/>
    <col min="7" max="7" width="11.140625" bestFit="1" customWidth="1"/>
    <col min="8" max="8" width="11" customWidth="1"/>
    <col min="9" max="9" width="12.140625" bestFit="1" customWidth="1"/>
    <col min="10" max="10" width="16.5703125" customWidth="1"/>
    <col min="11" max="11" width="10" bestFit="1" customWidth="1"/>
    <col min="12" max="12" width="10.7109375" bestFit="1" customWidth="1"/>
    <col min="18" max="18" width="12" bestFit="1" customWidth="1"/>
  </cols>
  <sheetData>
    <row r="20" spans="10:21" ht="15.75" thickBot="1" x14ac:dyDescent="0.3"/>
    <row r="21" spans="10:21" ht="15.75" thickBot="1" x14ac:dyDescent="0.3">
      <c r="J21" s="3">
        <v>1</v>
      </c>
      <c r="K21" s="1" t="s">
        <v>0</v>
      </c>
      <c r="L21" s="1" t="s">
        <v>2</v>
      </c>
      <c r="M21" s="1"/>
      <c r="N21" s="1" t="s">
        <v>3</v>
      </c>
      <c r="O21" s="1"/>
      <c r="P21" s="1" t="s">
        <v>4</v>
      </c>
      <c r="Q21" s="1"/>
      <c r="R21" s="1" t="s">
        <v>5</v>
      </c>
      <c r="S21" s="1"/>
      <c r="T21" s="1" t="s">
        <v>6</v>
      </c>
      <c r="U21" s="2" t="s">
        <v>7</v>
      </c>
    </row>
    <row r="22" spans="10:21" ht="15.75" thickBot="1" x14ac:dyDescent="0.3">
      <c r="J22" s="4">
        <v>2</v>
      </c>
      <c r="K22" s="7" t="s">
        <v>1</v>
      </c>
      <c r="L22" s="7">
        <v>654564</v>
      </c>
      <c r="M22" s="7"/>
      <c r="N22" s="7">
        <v>4565</v>
      </c>
      <c r="O22" s="7"/>
      <c r="P22" s="7">
        <f>SUM(L22-N22)</f>
        <v>649999</v>
      </c>
      <c r="Q22" s="7"/>
      <c r="R22" s="7">
        <f>AVERAGE(L22:P22)</f>
        <v>436376</v>
      </c>
      <c r="S22" s="7"/>
      <c r="T22" s="7">
        <f>MAX(L22,N22,P22,R22,)</f>
        <v>654564</v>
      </c>
      <c r="U22" s="7">
        <f>MIN(L22,N22,P22,R22,T22)</f>
        <v>4565</v>
      </c>
    </row>
    <row r="23" spans="10:21" ht="15.75" thickBot="1" x14ac:dyDescent="0.3">
      <c r="J23" s="4">
        <v>3</v>
      </c>
      <c r="K23" s="7" t="s">
        <v>1</v>
      </c>
      <c r="L23" s="7">
        <v>54535464</v>
      </c>
      <c r="M23" s="7"/>
      <c r="N23" s="7">
        <v>464</v>
      </c>
      <c r="O23" s="7"/>
      <c r="P23" s="7">
        <f t="shared" ref="P23:P40" si="0">SUM(L23-N23)</f>
        <v>54535000</v>
      </c>
      <c r="Q23" s="7"/>
      <c r="R23" s="7">
        <f t="shared" ref="R23:R40" si="1">AVERAGE(L23:P23)</f>
        <v>36356976</v>
      </c>
      <c r="S23" s="7"/>
      <c r="T23" s="7">
        <f t="shared" ref="T23:T40" si="2">MAX(L23,N23,P23,R23,)</f>
        <v>54535464</v>
      </c>
      <c r="U23" s="7">
        <f>MIN(L23,N23,P23,R23,T23)</f>
        <v>464</v>
      </c>
    </row>
    <row r="24" spans="10:21" ht="15.75" thickBot="1" x14ac:dyDescent="0.3">
      <c r="J24" s="4">
        <v>4</v>
      </c>
      <c r="K24" s="7" t="s">
        <v>1</v>
      </c>
      <c r="L24" s="7">
        <v>456365423</v>
      </c>
      <c r="M24" s="7"/>
      <c r="N24" s="7">
        <v>4646</v>
      </c>
      <c r="O24" s="7"/>
      <c r="P24" s="7">
        <f>SUM(L24-N24)</f>
        <v>456360777</v>
      </c>
      <c r="Q24" s="7"/>
      <c r="R24" s="7">
        <f t="shared" si="1"/>
        <v>304243615.33333331</v>
      </c>
      <c r="S24" s="7"/>
      <c r="T24" s="7">
        <f t="shared" si="2"/>
        <v>456365423</v>
      </c>
      <c r="U24" s="7">
        <f>MIN(L24,N24,P24,R24,T24)</f>
        <v>4646</v>
      </c>
    </row>
    <row r="25" spans="10:21" ht="15.75" thickBot="1" x14ac:dyDescent="0.3">
      <c r="J25" s="4">
        <v>5</v>
      </c>
      <c r="K25" s="7" t="s">
        <v>1</v>
      </c>
      <c r="L25" s="7">
        <v>4342135</v>
      </c>
      <c r="M25" s="7"/>
      <c r="N25" s="7">
        <v>54667</v>
      </c>
      <c r="O25" s="7"/>
      <c r="P25" s="7">
        <f t="shared" si="0"/>
        <v>4287468</v>
      </c>
      <c r="Q25" s="7"/>
      <c r="R25" s="7">
        <f t="shared" si="1"/>
        <v>2894756.6666666665</v>
      </c>
      <c r="S25" s="7"/>
      <c r="T25" s="7">
        <f t="shared" si="2"/>
        <v>4342135</v>
      </c>
      <c r="U25" s="7">
        <f>MIN(L25,N25,P25,R25,T25)</f>
        <v>54667</v>
      </c>
    </row>
    <row r="26" spans="10:21" ht="15.75" thickBot="1" x14ac:dyDescent="0.3">
      <c r="J26" s="4">
        <v>6</v>
      </c>
      <c r="K26" s="7" t="s">
        <v>1</v>
      </c>
      <c r="L26" s="7">
        <v>54365463</v>
      </c>
      <c r="M26" s="7"/>
      <c r="N26" s="7">
        <v>453621</v>
      </c>
      <c r="O26" s="7"/>
      <c r="P26" s="7">
        <f t="shared" si="0"/>
        <v>53911842</v>
      </c>
      <c r="Q26" s="7"/>
      <c r="R26" s="7">
        <f t="shared" si="1"/>
        <v>36243642</v>
      </c>
      <c r="S26" s="7"/>
      <c r="T26" s="7">
        <f t="shared" si="2"/>
        <v>54365463</v>
      </c>
      <c r="U26" s="7">
        <f>MIN(L26,N26,P26,R26,T26)</f>
        <v>453621</v>
      </c>
    </row>
    <row r="27" spans="10:21" ht="15.75" thickBot="1" x14ac:dyDescent="0.3">
      <c r="J27" s="4">
        <v>7</v>
      </c>
      <c r="K27" s="7" t="s">
        <v>1</v>
      </c>
      <c r="L27" s="7">
        <v>4345654</v>
      </c>
      <c r="M27" s="7"/>
      <c r="N27" s="7">
        <v>4344</v>
      </c>
      <c r="O27" s="7"/>
      <c r="P27" s="7">
        <f t="shared" si="0"/>
        <v>4341310</v>
      </c>
      <c r="Q27" s="7"/>
      <c r="R27" s="7">
        <f t="shared" si="1"/>
        <v>2897102.6666666665</v>
      </c>
      <c r="S27" s="7"/>
      <c r="T27" s="7">
        <f t="shared" si="2"/>
        <v>4345654</v>
      </c>
      <c r="U27" s="7">
        <f>MIN(L27,N27,P27,R27,T27)</f>
        <v>4344</v>
      </c>
    </row>
    <row r="28" spans="10:21" ht="15.75" thickBot="1" x14ac:dyDescent="0.3">
      <c r="J28" s="4">
        <v>8</v>
      </c>
      <c r="K28" s="7" t="s">
        <v>1</v>
      </c>
      <c r="L28" s="7">
        <v>43453634</v>
      </c>
      <c r="M28" s="7"/>
      <c r="N28" s="7">
        <v>456546</v>
      </c>
      <c r="O28" s="7"/>
      <c r="P28" s="7">
        <f t="shared" si="0"/>
        <v>42997088</v>
      </c>
      <c r="Q28" s="7"/>
      <c r="R28" s="7">
        <f t="shared" si="1"/>
        <v>28969089.333333332</v>
      </c>
      <c r="S28" s="7"/>
      <c r="T28" s="7">
        <f t="shared" si="2"/>
        <v>43453634</v>
      </c>
      <c r="U28" s="7">
        <f>MIN(L28,N28,P28,R28,T28)</f>
        <v>456546</v>
      </c>
    </row>
    <row r="29" spans="10:21" ht="15.75" thickBot="1" x14ac:dyDescent="0.3">
      <c r="J29" s="4">
        <v>9</v>
      </c>
      <c r="K29" s="7" t="s">
        <v>1</v>
      </c>
      <c r="L29" s="7">
        <v>4345654</v>
      </c>
      <c r="M29" s="7"/>
      <c r="N29" s="7">
        <v>46466</v>
      </c>
      <c r="O29" s="7"/>
      <c r="P29" s="7">
        <f t="shared" si="0"/>
        <v>4299188</v>
      </c>
      <c r="Q29" s="7"/>
      <c r="R29" s="7">
        <f t="shared" si="1"/>
        <v>2897102.6666666665</v>
      </c>
      <c r="S29" s="7"/>
      <c r="T29" s="7">
        <f t="shared" si="2"/>
        <v>4345654</v>
      </c>
      <c r="U29" s="7">
        <f>MIN(L29,N29,P29,R29,T29)</f>
        <v>46466</v>
      </c>
    </row>
    <row r="30" spans="10:21" ht="15.75" thickBot="1" x14ac:dyDescent="0.3">
      <c r="J30" s="4">
        <v>10</v>
      </c>
      <c r="K30" s="7" t="s">
        <v>1</v>
      </c>
      <c r="L30" s="7">
        <v>4456453</v>
      </c>
      <c r="M30" s="7"/>
      <c r="N30" s="7">
        <v>46456</v>
      </c>
      <c r="O30" s="7"/>
      <c r="P30" s="7">
        <f t="shared" si="0"/>
        <v>4409997</v>
      </c>
      <c r="Q30" s="7"/>
      <c r="R30" s="7">
        <f t="shared" si="1"/>
        <v>2970968.6666666665</v>
      </c>
      <c r="S30" s="7"/>
      <c r="T30" s="7">
        <f t="shared" si="2"/>
        <v>4456453</v>
      </c>
      <c r="U30" s="7">
        <f>MIN(L30,N30,P30,R30,T30)</f>
        <v>46456</v>
      </c>
    </row>
    <row r="31" spans="10:21" ht="15.75" thickBot="1" x14ac:dyDescent="0.3">
      <c r="J31" s="4">
        <v>11</v>
      </c>
      <c r="K31" s="7" t="s">
        <v>1</v>
      </c>
      <c r="L31" s="7">
        <v>4456543</v>
      </c>
      <c r="M31" s="7"/>
      <c r="N31" s="7">
        <v>46468</v>
      </c>
      <c r="O31" s="7"/>
      <c r="P31" s="7">
        <f t="shared" si="0"/>
        <v>4410075</v>
      </c>
      <c r="Q31" s="7"/>
      <c r="R31" s="7">
        <f t="shared" si="1"/>
        <v>2971028.6666666665</v>
      </c>
      <c r="S31" s="7"/>
      <c r="T31" s="7">
        <f t="shared" si="2"/>
        <v>4456543</v>
      </c>
      <c r="U31" s="7">
        <f>MIN(L31,N31,P31,R31,T31)</f>
        <v>46468</v>
      </c>
    </row>
    <row r="32" spans="10:21" ht="15.75" thickBot="1" x14ac:dyDescent="0.3">
      <c r="J32" s="4">
        <v>12</v>
      </c>
      <c r="K32" s="7" t="s">
        <v>1</v>
      </c>
      <c r="L32" s="7">
        <v>43456543</v>
      </c>
      <c r="M32" s="7"/>
      <c r="N32" s="7">
        <v>463456</v>
      </c>
      <c r="O32" s="7"/>
      <c r="P32" s="7">
        <f t="shared" si="0"/>
        <v>42993087</v>
      </c>
      <c r="Q32" s="7"/>
      <c r="R32" s="7">
        <f t="shared" si="1"/>
        <v>28971028.666666668</v>
      </c>
      <c r="S32" s="7"/>
      <c r="T32" s="7">
        <f t="shared" si="2"/>
        <v>43456543</v>
      </c>
      <c r="U32" s="7">
        <f>MIN(L32,N32,P32,R32,T32)</f>
        <v>463456</v>
      </c>
    </row>
    <row r="33" spans="7:21" ht="15.75" thickBot="1" x14ac:dyDescent="0.3">
      <c r="J33" s="4">
        <v>13</v>
      </c>
      <c r="K33" s="7" t="s">
        <v>1</v>
      </c>
      <c r="L33" s="7">
        <v>45685434</v>
      </c>
      <c r="M33" s="7"/>
      <c r="N33" s="7">
        <v>46886</v>
      </c>
      <c r="O33" s="7"/>
      <c r="P33" s="7">
        <f t="shared" si="0"/>
        <v>45638548</v>
      </c>
      <c r="Q33" s="7"/>
      <c r="R33" s="7">
        <f t="shared" si="1"/>
        <v>30456956</v>
      </c>
      <c r="S33" s="7"/>
      <c r="T33" s="7">
        <f t="shared" si="2"/>
        <v>45685434</v>
      </c>
      <c r="U33" s="7">
        <f>MIN(L33,N33,P33,R33,T33)</f>
        <v>46886</v>
      </c>
    </row>
    <row r="34" spans="7:21" ht="15.75" thickBot="1" x14ac:dyDescent="0.3">
      <c r="J34" s="4">
        <v>14</v>
      </c>
      <c r="K34" s="7" t="s">
        <v>1</v>
      </c>
      <c r="L34" s="7">
        <v>46864524</v>
      </c>
      <c r="M34" s="7"/>
      <c r="N34" s="7">
        <v>546463</v>
      </c>
      <c r="O34" s="7"/>
      <c r="P34" s="7">
        <f t="shared" si="0"/>
        <v>46318061</v>
      </c>
      <c r="Q34" s="7"/>
      <c r="R34" s="7">
        <f t="shared" si="1"/>
        <v>31243016</v>
      </c>
      <c r="S34" s="7"/>
      <c r="T34" s="7">
        <f t="shared" si="2"/>
        <v>46864524</v>
      </c>
      <c r="U34" s="7">
        <f>MIN(L34,N34,P34,R34,T34)</f>
        <v>546463</v>
      </c>
    </row>
    <row r="35" spans="7:21" ht="15.75" thickBot="1" x14ac:dyDescent="0.3">
      <c r="J35" s="4">
        <v>15</v>
      </c>
      <c r="K35" s="7" t="s">
        <v>1</v>
      </c>
      <c r="L35" s="7">
        <v>46542134</v>
      </c>
      <c r="M35" s="7"/>
      <c r="N35" s="7">
        <v>45646</v>
      </c>
      <c r="O35" s="7"/>
      <c r="P35" s="7">
        <f t="shared" si="0"/>
        <v>46496488</v>
      </c>
      <c r="Q35" s="7"/>
      <c r="R35" s="7">
        <f t="shared" si="1"/>
        <v>31028089.333333332</v>
      </c>
      <c r="S35" s="7"/>
      <c r="T35" s="7">
        <f t="shared" si="2"/>
        <v>46542134</v>
      </c>
      <c r="U35" s="7">
        <f>MIN(L35,N35,P35,R35,T35)</f>
        <v>45646</v>
      </c>
    </row>
    <row r="36" spans="7:21" ht="15.75" thickBot="1" x14ac:dyDescent="0.3">
      <c r="J36" s="4">
        <v>16</v>
      </c>
      <c r="K36" s="7" t="s">
        <v>1</v>
      </c>
      <c r="L36" s="7">
        <v>45645213</v>
      </c>
      <c r="M36" s="7"/>
      <c r="N36" s="7">
        <v>23565</v>
      </c>
      <c r="O36" s="7"/>
      <c r="P36" s="7">
        <f t="shared" si="0"/>
        <v>45621648</v>
      </c>
      <c r="Q36" s="7"/>
      <c r="R36" s="7">
        <f t="shared" si="1"/>
        <v>30430142</v>
      </c>
      <c r="S36" s="7"/>
      <c r="T36" s="7">
        <f t="shared" si="2"/>
        <v>45645213</v>
      </c>
      <c r="U36" s="7">
        <f>MIN(L36,N36,P36,R36,T36)</f>
        <v>23565</v>
      </c>
    </row>
    <row r="37" spans="7:21" ht="15.75" thickBot="1" x14ac:dyDescent="0.3">
      <c r="J37" s="4">
        <v>17</v>
      </c>
      <c r="K37" s="7" t="s">
        <v>1</v>
      </c>
      <c r="L37" s="7">
        <v>456345213</v>
      </c>
      <c r="M37" s="7"/>
      <c r="N37" s="7">
        <v>345646</v>
      </c>
      <c r="O37" s="7"/>
      <c r="P37" s="7">
        <f t="shared" si="0"/>
        <v>455999567</v>
      </c>
      <c r="Q37" s="7"/>
      <c r="R37" s="7">
        <f t="shared" si="1"/>
        <v>304230142</v>
      </c>
      <c r="S37" s="7"/>
      <c r="T37" s="7">
        <f t="shared" si="2"/>
        <v>456345213</v>
      </c>
      <c r="U37" s="7">
        <f>MIN(L37,N37,P37,R37,T37)</f>
        <v>345646</v>
      </c>
    </row>
    <row r="38" spans="7:21" ht="15.75" thickBot="1" x14ac:dyDescent="0.3">
      <c r="G38" s="6"/>
      <c r="J38" s="4">
        <v>18</v>
      </c>
      <c r="K38" s="7" t="s">
        <v>1</v>
      </c>
      <c r="L38" s="7">
        <v>23456542</v>
      </c>
      <c r="M38" s="7"/>
      <c r="N38" s="7">
        <v>456764</v>
      </c>
      <c r="O38" s="7"/>
      <c r="P38" s="7">
        <f t="shared" si="0"/>
        <v>22999778</v>
      </c>
      <c r="Q38" s="7"/>
      <c r="R38" s="7">
        <f t="shared" si="1"/>
        <v>15637694.666666666</v>
      </c>
      <c r="S38" s="7"/>
      <c r="T38" s="7">
        <f t="shared" si="2"/>
        <v>23456542</v>
      </c>
      <c r="U38" s="7">
        <f>MIN(L38,N38,P38,R38,T38)</f>
        <v>456764</v>
      </c>
    </row>
    <row r="39" spans="7:21" ht="15.75" thickBot="1" x14ac:dyDescent="0.3">
      <c r="J39" s="4">
        <v>19</v>
      </c>
      <c r="K39" s="7" t="s">
        <v>1</v>
      </c>
      <c r="L39" s="7">
        <v>41685664</v>
      </c>
      <c r="M39" s="7"/>
      <c r="N39" s="7">
        <v>456364</v>
      </c>
      <c r="O39" s="7"/>
      <c r="P39" s="7">
        <f t="shared" si="0"/>
        <v>41229300</v>
      </c>
      <c r="Q39" s="7"/>
      <c r="R39" s="7">
        <f t="shared" si="1"/>
        <v>27790442.666666668</v>
      </c>
      <c r="S39" s="7"/>
      <c r="T39" s="7">
        <f t="shared" si="2"/>
        <v>41685664</v>
      </c>
      <c r="U39" s="7">
        <f>MIN(L39,N39,P39,R39,T39)</f>
        <v>456364</v>
      </c>
    </row>
    <row r="40" spans="7:21" ht="15.75" thickBot="1" x14ac:dyDescent="0.3">
      <c r="J40" s="5">
        <v>20</v>
      </c>
      <c r="K40" s="7" t="s">
        <v>1</v>
      </c>
      <c r="L40" s="7">
        <v>46454324</v>
      </c>
      <c r="M40" s="7"/>
      <c r="N40" s="7">
        <v>456356</v>
      </c>
      <c r="O40" s="7"/>
      <c r="P40" s="7">
        <f t="shared" si="0"/>
        <v>45997968</v>
      </c>
      <c r="Q40" s="7"/>
      <c r="R40" s="7">
        <f t="shared" si="1"/>
        <v>30969549.333333332</v>
      </c>
      <c r="S40" s="7"/>
      <c r="T40" s="7">
        <f t="shared" si="2"/>
        <v>46454324</v>
      </c>
      <c r="U40" s="7">
        <f>MIN(L40,N40,P40,R40,T40)</f>
        <v>456356</v>
      </c>
    </row>
    <row r="43" spans="7:21" x14ac:dyDescent="0.25">
      <c r="L43" t="s">
        <v>8</v>
      </c>
      <c r="M43">
        <f>SUM(L22:L40)</f>
        <v>1427456578</v>
      </c>
      <c r="N43" t="s">
        <v>9</v>
      </c>
      <c r="O43">
        <f>SUM(N22:N40)</f>
        <v>3959389</v>
      </c>
      <c r="P43" t="s">
        <v>10</v>
      </c>
      <c r="Q43">
        <f>SUM(P22:P40)</f>
        <v>1423497189</v>
      </c>
      <c r="R43" t="s">
        <v>11</v>
      </c>
      <c r="S43">
        <f>SUM(R22:R40)</f>
        <v>951637718.66666675</v>
      </c>
      <c r="T4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71D5-BF5D-43F6-BA8C-68DA9FBC2CC8}">
  <dimension ref="E6:L23"/>
  <sheetViews>
    <sheetView workbookViewId="0">
      <selection activeCell="L12" sqref="L12"/>
    </sheetView>
  </sheetViews>
  <sheetFormatPr defaultRowHeight="15" x14ac:dyDescent="0.25"/>
  <cols>
    <col min="6" max="6" width="15.42578125" bestFit="1" customWidth="1"/>
    <col min="7" max="7" width="17.5703125" bestFit="1" customWidth="1"/>
    <col min="8" max="8" width="17.85546875" bestFit="1" customWidth="1"/>
    <col min="12" max="12" width="23.85546875" bestFit="1" customWidth="1"/>
  </cols>
  <sheetData>
    <row r="6" spans="5:12" x14ac:dyDescent="0.25">
      <c r="E6" t="s">
        <v>13</v>
      </c>
      <c r="F6" t="s">
        <v>14</v>
      </c>
      <c r="G6" t="s">
        <v>15</v>
      </c>
      <c r="H6" t="s">
        <v>16</v>
      </c>
    </row>
    <row r="7" spans="5:12" x14ac:dyDescent="0.25">
      <c r="E7">
        <v>101</v>
      </c>
      <c r="F7">
        <v>4</v>
      </c>
      <c r="G7">
        <v>22.55</v>
      </c>
      <c r="H7">
        <f>F7*G7</f>
        <v>90.2</v>
      </c>
    </row>
    <row r="8" spans="5:12" x14ac:dyDescent="0.25">
      <c r="E8">
        <v>102</v>
      </c>
      <c r="F8">
        <v>8</v>
      </c>
      <c r="G8">
        <v>54.54</v>
      </c>
      <c r="H8">
        <f t="shared" ref="H8:H16" si="0">F8*G8</f>
        <v>436.32</v>
      </c>
    </row>
    <row r="9" spans="5:12" x14ac:dyDescent="0.25">
      <c r="E9">
        <v>103</v>
      </c>
      <c r="F9">
        <v>6</v>
      </c>
      <c r="G9">
        <v>15.054</v>
      </c>
      <c r="H9">
        <f t="shared" si="0"/>
        <v>90.323999999999998</v>
      </c>
    </row>
    <row r="10" spans="5:12" x14ac:dyDescent="0.25">
      <c r="E10">
        <v>104</v>
      </c>
      <c r="F10">
        <v>5</v>
      </c>
      <c r="G10">
        <v>45.003999999999998</v>
      </c>
      <c r="H10">
        <f t="shared" si="0"/>
        <v>225.01999999999998</v>
      </c>
    </row>
    <row r="11" spans="5:12" x14ac:dyDescent="0.25">
      <c r="E11">
        <v>105</v>
      </c>
      <c r="F11">
        <v>2</v>
      </c>
      <c r="G11">
        <v>57.45</v>
      </c>
      <c r="H11">
        <f t="shared" si="0"/>
        <v>114.9</v>
      </c>
    </row>
    <row r="12" spans="5:12" x14ac:dyDescent="0.25">
      <c r="E12">
        <v>106</v>
      </c>
      <c r="F12">
        <v>3</v>
      </c>
      <c r="G12">
        <v>12.045</v>
      </c>
      <c r="H12">
        <f t="shared" si="0"/>
        <v>36.134999999999998</v>
      </c>
    </row>
    <row r="13" spans="5:12" x14ac:dyDescent="0.25">
      <c r="E13">
        <v>107</v>
      </c>
      <c r="F13">
        <v>1</v>
      </c>
      <c r="G13">
        <v>41.545999999999999</v>
      </c>
      <c r="H13">
        <f t="shared" si="0"/>
        <v>41.545999999999999</v>
      </c>
    </row>
    <row r="14" spans="5:12" x14ac:dyDescent="0.25">
      <c r="E14">
        <v>108</v>
      </c>
      <c r="F14">
        <v>9</v>
      </c>
      <c r="G14">
        <v>18.456</v>
      </c>
      <c r="H14">
        <f t="shared" si="0"/>
        <v>166.10399999999998</v>
      </c>
      <c r="L14" s="8" t="s">
        <v>18</v>
      </c>
    </row>
    <row r="15" spans="5:12" x14ac:dyDescent="0.25">
      <c r="E15">
        <v>109</v>
      </c>
      <c r="F15">
        <v>8</v>
      </c>
      <c r="G15">
        <v>44.184579999999997</v>
      </c>
      <c r="H15">
        <f t="shared" si="0"/>
        <v>353.47663999999997</v>
      </c>
    </row>
    <row r="16" spans="5:12" x14ac:dyDescent="0.25">
      <c r="E16">
        <v>110</v>
      </c>
      <c r="F16">
        <v>6</v>
      </c>
      <c r="G16">
        <v>64.456199999999995</v>
      </c>
      <c r="H16">
        <f t="shared" si="0"/>
        <v>386.73719999999997</v>
      </c>
    </row>
    <row r="17" spans="5:7" x14ac:dyDescent="0.25">
      <c r="E17">
        <v>111</v>
      </c>
      <c r="F17" t="s">
        <v>17</v>
      </c>
    </row>
    <row r="19" spans="5:7" x14ac:dyDescent="0.25">
      <c r="F19">
        <f>COUNT(F7:F16)</f>
        <v>10</v>
      </c>
    </row>
    <row r="23" spans="5:7" x14ac:dyDescent="0.25">
      <c r="F23">
        <f>COUNT(F7:F17)</f>
        <v>10</v>
      </c>
      <c r="G23">
        <f>COUNTA(F7:F17)</f>
        <v>11</v>
      </c>
    </row>
  </sheetData>
  <hyperlinks>
    <hyperlink ref="L14" r:id="rId1" xr:uid="{9B19A9F4-58CC-4484-82B5-137A783E62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AE56-152F-4042-A3C2-4C036098A09A}">
  <dimension ref="A1:G12"/>
  <sheetViews>
    <sheetView tabSelected="1" workbookViewId="0">
      <selection activeCell="F20" sqref="F20"/>
    </sheetView>
  </sheetViews>
  <sheetFormatPr defaultRowHeight="15" x14ac:dyDescent="0.25"/>
  <cols>
    <col min="1" max="1" width="10.85546875" bestFit="1" customWidth="1"/>
    <col min="2" max="2" width="11.7109375" bestFit="1" customWidth="1"/>
    <col min="3" max="3" width="12" bestFit="1" customWidth="1"/>
    <col min="4" max="4" width="11.5703125" bestFit="1" customWidth="1"/>
    <col min="5" max="5" width="12.5703125" bestFit="1" customWidth="1"/>
    <col min="7" max="7" width="9.7109375" bestFit="1" customWidth="1"/>
    <col min="9" max="9" width="10.7109375" bestFit="1" customWidth="1"/>
    <col min="13" max="13" width="11.85546875" bestFit="1" customWidth="1"/>
  </cols>
  <sheetData>
    <row r="1" spans="1:7" ht="18.75" x14ac:dyDescent="0.3">
      <c r="A1" s="14" t="s">
        <v>0</v>
      </c>
      <c r="B1" s="12" t="s">
        <v>19</v>
      </c>
      <c r="C1" s="12" t="s">
        <v>41</v>
      </c>
      <c r="D1" s="12" t="s">
        <v>53</v>
      </c>
      <c r="E1" s="12" t="s">
        <v>2</v>
      </c>
    </row>
    <row r="2" spans="1:7" x14ac:dyDescent="0.25">
      <c r="A2" s="13" t="s">
        <v>20</v>
      </c>
      <c r="B2" t="s">
        <v>31</v>
      </c>
      <c r="C2" s="9" t="s">
        <v>42</v>
      </c>
      <c r="D2" s="10">
        <v>45870</v>
      </c>
      <c r="E2" s="11">
        <v>500000</v>
      </c>
      <c r="F2" s="15">
        <v>0.15</v>
      </c>
      <c r="G2" t="b">
        <f>IF(E2&lt;=5,TRUE,FALSE)</f>
        <v>0</v>
      </c>
    </row>
    <row r="3" spans="1:7" x14ac:dyDescent="0.25">
      <c r="A3" s="13" t="s">
        <v>21</v>
      </c>
      <c r="B3" t="s">
        <v>32</v>
      </c>
      <c r="C3" s="9" t="s">
        <v>43</v>
      </c>
      <c r="D3" s="10">
        <v>45871</v>
      </c>
      <c r="E3" s="11">
        <v>500000</v>
      </c>
      <c r="G3" t="b">
        <f>IF(E1&gt;90000,TRUE,FALSE)</f>
        <v>1</v>
      </c>
    </row>
    <row r="4" spans="1:7" x14ac:dyDescent="0.25">
      <c r="A4" s="13" t="s">
        <v>22</v>
      </c>
      <c r="B4" t="s">
        <v>33</v>
      </c>
      <c r="C4" s="9" t="s">
        <v>44</v>
      </c>
      <c r="D4" s="10">
        <v>45872</v>
      </c>
      <c r="E4" s="11">
        <v>500000</v>
      </c>
      <c r="G4" t="b">
        <f>IF(E2&lt;=5,TRUE,FALSE)</f>
        <v>0</v>
      </c>
    </row>
    <row r="5" spans="1:7" x14ac:dyDescent="0.25">
      <c r="A5" s="13" t="s">
        <v>23</v>
      </c>
      <c r="B5" t="s">
        <v>34</v>
      </c>
      <c r="C5" s="9" t="s">
        <v>45</v>
      </c>
      <c r="D5" s="10">
        <v>45873</v>
      </c>
      <c r="E5" s="11">
        <v>500000</v>
      </c>
      <c r="G5" t="b">
        <f>IF(E3&lt;=50000,TRUE,FALSE)</f>
        <v>0</v>
      </c>
    </row>
    <row r="6" spans="1:7" x14ac:dyDescent="0.25">
      <c r="A6" s="13" t="s">
        <v>24</v>
      </c>
      <c r="B6" t="s">
        <v>35</v>
      </c>
      <c r="C6" s="9" t="s">
        <v>46</v>
      </c>
      <c r="D6" s="10">
        <v>45874</v>
      </c>
      <c r="E6" s="11">
        <v>500000</v>
      </c>
      <c r="G6" t="b">
        <f>IF(E4&lt;=900000,TRUE,FALSE)</f>
        <v>1</v>
      </c>
    </row>
    <row r="7" spans="1:7" x14ac:dyDescent="0.25">
      <c r="A7" s="13" t="s">
        <v>25</v>
      </c>
      <c r="B7" t="s">
        <v>36</v>
      </c>
      <c r="C7" s="9" t="s">
        <v>47</v>
      </c>
      <c r="D7" s="10">
        <v>45875</v>
      </c>
      <c r="E7" s="11">
        <v>500000</v>
      </c>
      <c r="G7" t="b">
        <f t="shared" ref="G5:G12" si="0">IF(E5&lt;=5,TRUE,FALSE)</f>
        <v>0</v>
      </c>
    </row>
    <row r="8" spans="1:7" x14ac:dyDescent="0.25">
      <c r="A8" s="13" t="s">
        <v>26</v>
      </c>
      <c r="B8" t="s">
        <v>37</v>
      </c>
      <c r="C8" s="9" t="s">
        <v>48</v>
      </c>
      <c r="D8" s="10">
        <v>45876</v>
      </c>
      <c r="E8" s="11">
        <v>500000</v>
      </c>
      <c r="G8" t="b">
        <f t="shared" si="0"/>
        <v>0</v>
      </c>
    </row>
    <row r="9" spans="1:7" x14ac:dyDescent="0.25">
      <c r="A9" s="13" t="s">
        <v>27</v>
      </c>
      <c r="B9" t="s">
        <v>37</v>
      </c>
      <c r="C9" s="9" t="s">
        <v>49</v>
      </c>
      <c r="D9" s="10">
        <v>45877</v>
      </c>
      <c r="E9" s="11">
        <v>500000</v>
      </c>
      <c r="G9" t="b">
        <f t="shared" si="0"/>
        <v>0</v>
      </c>
    </row>
    <row r="10" spans="1:7" x14ac:dyDescent="0.25">
      <c r="A10" s="13" t="s">
        <v>28</v>
      </c>
      <c r="B10" t="s">
        <v>38</v>
      </c>
      <c r="C10" s="9" t="s">
        <v>50</v>
      </c>
      <c r="D10" s="10">
        <v>45878</v>
      </c>
      <c r="E10" s="11">
        <v>500000</v>
      </c>
      <c r="G10" t="b">
        <f t="shared" si="0"/>
        <v>0</v>
      </c>
    </row>
    <row r="11" spans="1:7" x14ac:dyDescent="0.25">
      <c r="A11" s="13" t="s">
        <v>29</v>
      </c>
      <c r="B11" t="s">
        <v>39</v>
      </c>
      <c r="C11" s="9" t="s">
        <v>51</v>
      </c>
      <c r="D11" s="10">
        <v>45879</v>
      </c>
      <c r="E11" s="11">
        <v>500000</v>
      </c>
      <c r="G11" t="b">
        <f t="shared" si="0"/>
        <v>0</v>
      </c>
    </row>
    <row r="12" spans="1:7" x14ac:dyDescent="0.25">
      <c r="A12" s="13" t="s">
        <v>30</v>
      </c>
      <c r="B12" t="s">
        <v>40</v>
      </c>
      <c r="C12" s="9" t="s">
        <v>52</v>
      </c>
      <c r="D12" s="10">
        <v>45880</v>
      </c>
      <c r="E12" s="11">
        <v>500000</v>
      </c>
      <c r="G12" t="b">
        <f t="shared" si="0"/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PC-08</dc:creator>
  <cp:lastModifiedBy>WDPF PC-08</cp:lastModifiedBy>
  <dcterms:created xsi:type="dcterms:W3CDTF">2015-06-05T18:17:20Z</dcterms:created>
  <dcterms:modified xsi:type="dcterms:W3CDTF">2026-01-17T06:36:02Z</dcterms:modified>
</cp:coreProperties>
</file>