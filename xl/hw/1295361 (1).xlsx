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WDPF PC-08\Downloads\"/>
    </mc:Choice>
  </mc:AlternateContent>
  <xr:revisionPtr revIDLastSave="0" documentId="13_ncr:1_{A8155F2A-9504-4941-8159-3F1297C82369}" xr6:coauthVersionLast="47" xr6:coauthVersionMax="47" xr10:uidLastSave="{00000000-0000-0000-0000-000000000000}"/>
  <bookViews>
    <workbookView xWindow="-105" yWindow="0" windowWidth="14610" windowHeight="15585" activeTab="1" xr2:uid="{00000000-000D-0000-FFFF-FFFF00000000}"/>
  </bookViews>
  <sheets>
    <sheet name="niaz" sheetId="2" r:id="rId1"/>
    <sheet name="rafin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3" l="1"/>
  <c r="J3" i="3"/>
  <c r="J4" i="3"/>
  <c r="J5" i="3"/>
  <c r="J6" i="3"/>
  <c r="L6" i="3" s="1"/>
  <c r="J7" i="3"/>
  <c r="J8" i="3"/>
  <c r="K4" i="3"/>
  <c r="L4" i="3" s="1"/>
  <c r="K5" i="3"/>
  <c r="L5" i="3" s="1"/>
  <c r="K6" i="3"/>
  <c r="K7" i="3"/>
  <c r="K8" i="3"/>
  <c r="L8" i="3" s="1"/>
  <c r="K3" i="3"/>
  <c r="L3" i="3" s="1"/>
  <c r="H3" i="3"/>
  <c r="H4" i="3"/>
  <c r="H5" i="3"/>
  <c r="H6" i="3"/>
  <c r="H7" i="3"/>
  <c r="H8" i="3"/>
  <c r="G3" i="3"/>
  <c r="G4" i="3"/>
  <c r="G5" i="3"/>
  <c r="G6" i="3"/>
  <c r="G7" i="3"/>
  <c r="G8" i="3"/>
  <c r="F3" i="3"/>
  <c r="F4" i="3"/>
  <c r="F5" i="3"/>
  <c r="F6" i="3"/>
  <c r="F7" i="3"/>
  <c r="F8" i="3"/>
  <c r="E3" i="3"/>
  <c r="E4" i="3"/>
  <c r="E5" i="3"/>
  <c r="E6" i="3"/>
  <c r="E7" i="3"/>
  <c r="E8" i="3"/>
  <c r="I22" i="2"/>
  <c r="M22" i="2" s="1"/>
  <c r="D3" i="3"/>
  <c r="D4" i="3"/>
  <c r="D5" i="3"/>
  <c r="D6" i="3"/>
  <c r="D7" i="3"/>
  <c r="D8" i="3"/>
  <c r="C3" i="3"/>
  <c r="C4" i="3"/>
  <c r="C5" i="3"/>
  <c r="C6" i="3"/>
  <c r="C7" i="3"/>
  <c r="C8" i="3"/>
  <c r="B3" i="3"/>
  <c r="B4" i="3"/>
  <c r="B5" i="3"/>
  <c r="B6" i="3"/>
  <c r="B7" i="3"/>
  <c r="B8" i="3"/>
  <c r="A3" i="3"/>
  <c r="A5" i="3"/>
  <c r="A6" i="3"/>
  <c r="A7" i="3"/>
  <c r="A8" i="3"/>
  <c r="M20" i="2"/>
  <c r="I25" i="2"/>
  <c r="M25" i="2" s="1"/>
  <c r="I24" i="2"/>
  <c r="M24" i="2" s="1"/>
  <c r="I23" i="2"/>
  <c r="M23" i="2" s="1"/>
  <c r="I20" i="2"/>
  <c r="H6" i="2"/>
  <c r="I6" i="2" s="1"/>
  <c r="H7" i="2"/>
  <c r="I7" i="2" s="1"/>
  <c r="H8" i="2"/>
  <c r="I8" i="2" s="1"/>
  <c r="H9" i="2"/>
  <c r="I9" i="2" s="1"/>
  <c r="H10" i="2"/>
  <c r="I10" i="2" s="1"/>
  <c r="H11" i="2"/>
  <c r="I11" i="2" s="1"/>
  <c r="L7" i="3" l="1"/>
  <c r="I21" i="2"/>
  <c r="M21" i="2" s="1"/>
  <c r="I12" i="2"/>
</calcChain>
</file>

<file path=xl/sharedStrings.xml><?xml version="1.0" encoding="utf-8"?>
<sst xmlns="http://schemas.openxmlformats.org/spreadsheetml/2006/main" count="40" uniqueCount="30">
  <si>
    <t>Student</t>
  </si>
  <si>
    <t>GPA</t>
  </si>
  <si>
    <t>Tuition Fee</t>
  </si>
  <si>
    <t>Percentage</t>
  </si>
  <si>
    <t>Scholarship Amount
(Tuition Fee x Percentage)</t>
  </si>
  <si>
    <t>Net Payment
(Tuition Fee – Scholarship Amount)</t>
  </si>
  <si>
    <t>Steve</t>
  </si>
  <si>
    <t>William</t>
  </si>
  <si>
    <t>Mark</t>
  </si>
  <si>
    <t>Kalles</t>
  </si>
  <si>
    <t>Jack</t>
  </si>
  <si>
    <t>James</t>
  </si>
  <si>
    <t>Amount for lowest payee</t>
  </si>
  <si>
    <t>month</t>
  </si>
  <si>
    <t>January</t>
  </si>
  <si>
    <t>February</t>
  </si>
  <si>
    <t>March</t>
  </si>
  <si>
    <t>April</t>
  </si>
  <si>
    <t>May</t>
  </si>
  <si>
    <t>June</t>
  </si>
  <si>
    <t>House Payment</t>
  </si>
  <si>
    <t>Gasoline</t>
  </si>
  <si>
    <t>Groceries</t>
  </si>
  <si>
    <t>Utilities</t>
  </si>
  <si>
    <t>Insurance</t>
  </si>
  <si>
    <t>Entertainment</t>
  </si>
  <si>
    <t>Other</t>
  </si>
  <si>
    <t>Monthly Expenses Total</t>
  </si>
  <si>
    <t>Income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</si>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</sst>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2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9" fontId="0" fillId="0" borderId="9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9" fontId="0" fillId="0" borderId="17" xfId="0" applyNumberFormat="1" applyBorder="1" applyAlignment="1">
      <alignment horizontal="center"/>
    </xf>
    <xf numFmtId="9" fontId="0" fillId="0" borderId="7" xfId="0" applyNumberFormat="1" applyBorder="1" applyAlignment="1">
      <alignment horizontal="center"/>
    </xf>
    <xf numFmtId="9" fontId="0" fillId="0" borderId="18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0" fillId="0" borderId="1" xfId="0" applyBorder="1" applyAlignment="1">
      <alignment horizontal="left" indent="1"/>
    </xf>
    <xf numFmtId="0" fontId="0" fillId="0" borderId="15" xfId="0" applyBorder="1" applyAlignment="1">
      <alignment horizontal="left" indent="1"/>
    </xf>
    <xf numFmtId="0" fontId="0" fillId="0" borderId="7" xfId="0" applyBorder="1" applyAlignment="1">
      <alignment horizontal="left" indent="1"/>
    </xf>
    <xf numFmtId="0" fontId="0" fillId="0" borderId="1" xfId="0" applyBorder="1"/>
    <xf numFmtId="164" fontId="0" fillId="0" borderId="11" xfId="0" applyNumberFormat="1" applyBorder="1" applyAlignment="1">
      <alignment horizontal="center"/>
    </xf>
    <xf numFmtId="164" fontId="0" fillId="0" borderId="1" xfId="0" applyNumberFormat="1" applyBorder="1"/>
    <xf numFmtId="9" fontId="0" fillId="0" borderId="0" xfId="0" applyNumberFormat="1"/>
    <xf numFmtId="0" fontId="0" fillId="0" borderId="19" xfId="0" applyBorder="1" applyAlignment="1">
      <alignment horizontal="right"/>
    </xf>
    <xf numFmtId="0" fontId="1" fillId="2" borderId="2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0" fillId="0" borderId="20" xfId="0" applyBorder="1" applyAlignment="1">
      <alignment horizontal="right"/>
    </xf>
    <xf numFmtId="0" fontId="0" fillId="0" borderId="21" xfId="0" applyBorder="1" applyAlignment="1">
      <alignment horizontal="right"/>
    </xf>
    <xf numFmtId="0" fontId="0" fillId="0" borderId="22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0" fillId="0" borderId="6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1" fillId="0" borderId="8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rafin!$J$1:$K$1</c:f>
              <c:strCache>
                <c:ptCount val="2"/>
                <c:pt idx="0">
                  <c:v>Monthly Expenses Total</c:v>
                </c:pt>
                <c:pt idx="1">
                  <c:v>Income</c:v>
                </c:pt>
              </c:strCache>
            </c:strRef>
          </c:cat>
          <c:val>
            <c:numRef>
              <c:f>rafin!$J$3:$K$3</c:f>
              <c:numCache>
                <c:formatCode>General</c:formatCode>
                <c:ptCount val="2"/>
                <c:pt idx="0">
                  <c:v>825500</c:v>
                </c:pt>
                <c:pt idx="1">
                  <c:v>2000000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B5-40BB-8E6B-68A3BB48CA25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rafin!$J$1:$K$1</c:f>
              <c:strCache>
                <c:ptCount val="2"/>
                <c:pt idx="0">
                  <c:v>Monthly Expenses Total</c:v>
                </c:pt>
                <c:pt idx="1">
                  <c:v>Income</c:v>
                </c:pt>
              </c:strCache>
            </c:strRef>
          </c:cat>
          <c:val>
            <c:numRef>
              <c:f>rafin!$J$4:$K$4</c:f>
              <c:numCache>
                <c:formatCode>General</c:formatCode>
                <c:ptCount val="2"/>
                <c:pt idx="0">
                  <c:v>830400</c:v>
                </c:pt>
                <c:pt idx="1">
                  <c:v>2000000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B5-40BB-8E6B-68A3BB48CA25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rafin!$J$1:$K$1</c:f>
              <c:strCache>
                <c:ptCount val="2"/>
                <c:pt idx="0">
                  <c:v>Monthly Expenses Total</c:v>
                </c:pt>
                <c:pt idx="1">
                  <c:v>Income</c:v>
                </c:pt>
              </c:strCache>
            </c:strRef>
          </c:cat>
          <c:val>
            <c:numRef>
              <c:f>rafin!$J$5:$K$5</c:f>
              <c:numCache>
                <c:formatCode>General</c:formatCode>
                <c:ptCount val="2"/>
                <c:pt idx="0">
                  <c:v>828700</c:v>
                </c:pt>
                <c:pt idx="1">
                  <c:v>2000000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FB5-40BB-8E6B-68A3BB48CA25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rafin!$J$1:$K$1</c:f>
              <c:strCache>
                <c:ptCount val="2"/>
                <c:pt idx="0">
                  <c:v>Monthly Expenses Total</c:v>
                </c:pt>
                <c:pt idx="1">
                  <c:v>Income</c:v>
                </c:pt>
              </c:strCache>
            </c:strRef>
          </c:cat>
          <c:val>
            <c:numRef>
              <c:f>rafin!$J$6:$K$6</c:f>
              <c:numCache>
                <c:formatCode>General</c:formatCode>
                <c:ptCount val="2"/>
                <c:pt idx="0">
                  <c:v>827900</c:v>
                </c:pt>
                <c:pt idx="1">
                  <c:v>2000000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FB5-40BB-8E6B-68A3BB48CA25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rafin!$J$1:$K$1</c:f>
              <c:strCache>
                <c:ptCount val="2"/>
                <c:pt idx="0">
                  <c:v>Monthly Expenses Total</c:v>
                </c:pt>
                <c:pt idx="1">
                  <c:v>Income</c:v>
                </c:pt>
              </c:strCache>
            </c:strRef>
          </c:cat>
          <c:val>
            <c:numRef>
              <c:f>rafin!$J$7:$K$7</c:f>
              <c:numCache>
                <c:formatCode>General</c:formatCode>
                <c:ptCount val="2"/>
                <c:pt idx="0">
                  <c:v>824445</c:v>
                </c:pt>
                <c:pt idx="1">
                  <c:v>2000000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FB5-40BB-8E6B-68A3BB48CA25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rafin!$J$1:$K$1</c:f>
              <c:strCache>
                <c:ptCount val="2"/>
                <c:pt idx="0">
                  <c:v>Monthly Expenses Total</c:v>
                </c:pt>
                <c:pt idx="1">
                  <c:v>Income</c:v>
                </c:pt>
              </c:strCache>
            </c:strRef>
          </c:cat>
          <c:val>
            <c:numRef>
              <c:f>rafin!$J$8:$K$8</c:f>
              <c:numCache>
                <c:formatCode>General</c:formatCode>
                <c:ptCount val="2"/>
                <c:pt idx="0">
                  <c:v>824300</c:v>
                </c:pt>
                <c:pt idx="1">
                  <c:v>2000000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FB5-40BB-8E6B-68A3BB48C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84400607"/>
        <c:axId val="58441740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rafin!$J$1:$K$1</c15:sqref>
                        </c15:formulaRef>
                      </c:ext>
                    </c:extLst>
                    <c:strCache>
                      <c:ptCount val="2"/>
                      <c:pt idx="0">
                        <c:v>Monthly Expenses Total</c:v>
                      </c:pt>
                      <c:pt idx="1">
                        <c:v>Income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rafin!$J$2:$K$2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FFB5-40BB-8E6B-68A3BB48CA25}"/>
                  </c:ext>
                </c:extLst>
              </c15:ser>
            </c15:filteredBarSeries>
          </c:ext>
        </c:extLst>
      </c:barChart>
      <c:catAx>
        <c:axId val="584400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417407"/>
        <c:crosses val="autoZero"/>
        <c:auto val="1"/>
        <c:lblAlgn val="ctr"/>
        <c:lblOffset val="100"/>
        <c:noMultiLvlLbl val="0"/>
      </c:catAx>
      <c:valAx>
        <c:axId val="584417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400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11</xdr:row>
      <xdr:rowOff>42862</xdr:rowOff>
    </xdr:from>
    <xdr:to>
      <xdr:col>9</xdr:col>
      <xdr:colOff>1190625</xdr:colOff>
      <xdr:row>25</xdr:row>
      <xdr:rowOff>119062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C71727B-A92A-F6AD-CC94-7C5B80DF81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28E0D-73F3-4782-AAF1-185A87CE9CF4}">
  <dimension ref="D3:N26"/>
  <sheetViews>
    <sheetView zoomScale="85" zoomScaleNormal="85" workbookViewId="0">
      <selection activeCell="N20" sqref="N20"/>
    </sheetView>
  </sheetViews>
  <sheetFormatPr defaultRowHeight="15" x14ac:dyDescent="0.25"/>
  <cols>
    <col min="3" max="3" width="4.140625" customWidth="1"/>
    <col min="4" max="4" width="10.140625" customWidth="1"/>
    <col min="5" max="5" width="8.28515625" customWidth="1"/>
    <col min="6" max="6" width="15.140625" customWidth="1"/>
    <col min="7" max="7" width="13.140625" customWidth="1"/>
    <col min="8" max="8" width="29.5703125" customWidth="1"/>
    <col min="9" max="9" width="36.85546875" customWidth="1"/>
    <col min="10" max="11" width="14.42578125" bestFit="1" customWidth="1"/>
    <col min="13" max="13" width="23.28515625" bestFit="1" customWidth="1"/>
    <col min="14" max="14" width="12.7109375" bestFit="1" customWidth="1"/>
  </cols>
  <sheetData>
    <row r="3" spans="4:9" ht="15.75" thickBot="1" x14ac:dyDescent="0.3"/>
    <row r="4" spans="4:9" x14ac:dyDescent="0.25">
      <c r="D4" s="35" t="s">
        <v>0</v>
      </c>
      <c r="E4" s="35" t="s">
        <v>1</v>
      </c>
      <c r="F4" s="35" t="s">
        <v>2</v>
      </c>
      <c r="G4" s="33" t="s">
        <v>3</v>
      </c>
      <c r="H4" s="27" t="s">
        <v>4</v>
      </c>
      <c r="I4" s="27" t="s">
        <v>5</v>
      </c>
    </row>
    <row r="5" spans="4:9" ht="15.75" thickBot="1" x14ac:dyDescent="0.3">
      <c r="D5" s="32"/>
      <c r="E5" s="32"/>
      <c r="F5" s="28"/>
      <c r="G5" s="34"/>
      <c r="H5" s="32"/>
      <c r="I5" s="28"/>
    </row>
    <row r="6" spans="4:9" ht="15.75" thickBot="1" x14ac:dyDescent="0.3">
      <c r="D6" s="14" t="s">
        <v>6</v>
      </c>
      <c r="E6" s="2">
        <v>3</v>
      </c>
      <c r="F6" s="5">
        <v>410000</v>
      </c>
      <c r="G6" s="7">
        <v>0</v>
      </c>
      <c r="H6" s="12">
        <f>IF(E6&gt;=4,F6*G6,0)</f>
        <v>0</v>
      </c>
      <c r="I6" s="13">
        <f>F6-H6</f>
        <v>410000</v>
      </c>
    </row>
    <row r="7" spans="4:9" ht="15.75" thickBot="1" x14ac:dyDescent="0.3">
      <c r="D7" s="14" t="s">
        <v>7</v>
      </c>
      <c r="E7" s="2">
        <v>4</v>
      </c>
      <c r="F7" s="5">
        <v>410000</v>
      </c>
      <c r="G7" s="8">
        <v>0.5</v>
      </c>
      <c r="H7" s="12">
        <f t="shared" ref="H7:H11" si="0">IF(E7&gt;=4,F7*G7,0)</f>
        <v>205000</v>
      </c>
      <c r="I7" s="13">
        <f t="shared" ref="I7:I11" si="1">F7-H7</f>
        <v>205000</v>
      </c>
    </row>
    <row r="8" spans="4:9" ht="15.75" thickBot="1" x14ac:dyDescent="0.3">
      <c r="D8" s="15" t="s">
        <v>8</v>
      </c>
      <c r="E8" s="3">
        <v>5</v>
      </c>
      <c r="F8" s="5">
        <v>410000</v>
      </c>
      <c r="G8" s="9">
        <v>0.5</v>
      </c>
      <c r="H8" s="1">
        <f t="shared" si="0"/>
        <v>205000</v>
      </c>
      <c r="I8" s="13">
        <f t="shared" si="1"/>
        <v>205000</v>
      </c>
    </row>
    <row r="9" spans="4:9" ht="15.75" thickBot="1" x14ac:dyDescent="0.3">
      <c r="D9" s="14" t="s">
        <v>9</v>
      </c>
      <c r="E9" s="2">
        <v>4</v>
      </c>
      <c r="F9" s="5">
        <v>410000</v>
      </c>
      <c r="G9" s="9">
        <v>0.5</v>
      </c>
      <c r="H9" s="1">
        <f t="shared" si="0"/>
        <v>205000</v>
      </c>
      <c r="I9" s="13">
        <f t="shared" si="1"/>
        <v>205000</v>
      </c>
    </row>
    <row r="10" spans="4:9" ht="15.75" thickBot="1" x14ac:dyDescent="0.3">
      <c r="D10" s="16" t="s">
        <v>10</v>
      </c>
      <c r="E10" s="4">
        <v>2</v>
      </c>
      <c r="F10" s="5">
        <v>410000</v>
      </c>
      <c r="G10" s="10">
        <v>0</v>
      </c>
      <c r="H10" s="12">
        <f t="shared" si="0"/>
        <v>0</v>
      </c>
      <c r="I10" s="13">
        <f t="shared" si="1"/>
        <v>410000</v>
      </c>
    </row>
    <row r="11" spans="4:9" ht="15.75" thickBot="1" x14ac:dyDescent="0.3">
      <c r="D11" s="14" t="s">
        <v>11</v>
      </c>
      <c r="E11" s="2">
        <v>3</v>
      </c>
      <c r="F11" s="5">
        <v>410000</v>
      </c>
      <c r="G11" s="11">
        <v>0</v>
      </c>
      <c r="H11" s="1">
        <f t="shared" si="0"/>
        <v>0</v>
      </c>
      <c r="I11" s="13">
        <f t="shared" si="1"/>
        <v>410000</v>
      </c>
    </row>
    <row r="12" spans="4:9" ht="15.75" thickBot="1" x14ac:dyDescent="0.3">
      <c r="D12" s="29" t="s">
        <v>12</v>
      </c>
      <c r="E12" s="30"/>
      <c r="F12" s="30"/>
      <c r="G12" s="30"/>
      <c r="H12" s="31"/>
      <c r="I12" s="6">
        <f>MIN(I6:I11)</f>
        <v>205000</v>
      </c>
    </row>
    <row r="17" spans="4:14" ht="15.75" thickBot="1" x14ac:dyDescent="0.3"/>
    <row r="18" spans="4:14" x14ac:dyDescent="0.25">
      <c r="D18" s="22" t="s">
        <v>13</v>
      </c>
      <c r="E18" s="22" t="s">
        <v>23</v>
      </c>
      <c r="F18" s="22" t="s">
        <v>20</v>
      </c>
      <c r="G18" s="22" t="s">
        <v>21</v>
      </c>
      <c r="H18" s="22" t="s">
        <v>22</v>
      </c>
      <c r="I18" s="22" t="s">
        <v>24</v>
      </c>
      <c r="J18" s="22" t="s">
        <v>25</v>
      </c>
      <c r="K18" s="22" t="s">
        <v>26</v>
      </c>
      <c r="L18" s="22"/>
      <c r="M18" s="22" t="s">
        <v>27</v>
      </c>
      <c r="N18" s="22" t="s">
        <v>28</v>
      </c>
    </row>
    <row r="19" spans="4:14" ht="15.75" thickBot="1" x14ac:dyDescent="0.3"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</row>
    <row r="20" spans="4:14" ht="15.75" thickBot="1" x14ac:dyDescent="0.3">
      <c r="D20" s="14" t="s">
        <v>14</v>
      </c>
      <c r="E20" s="2">
        <v>3</v>
      </c>
      <c r="F20" s="5">
        <v>410000</v>
      </c>
      <c r="G20" s="7">
        <v>0.44</v>
      </c>
      <c r="H20" s="18">
        <v>20000</v>
      </c>
      <c r="I20" s="13">
        <f>F20-H20</f>
        <v>390000</v>
      </c>
      <c r="J20" s="19">
        <v>5000</v>
      </c>
      <c r="K20" s="19">
        <v>500</v>
      </c>
      <c r="L20" s="17"/>
      <c r="M20" s="19">
        <f>F20+H20+I20+J20+K20</f>
        <v>825500</v>
      </c>
      <c r="N20" s="19">
        <v>2000000</v>
      </c>
    </row>
    <row r="21" spans="4:14" ht="15.75" thickBot="1" x14ac:dyDescent="0.3">
      <c r="D21" s="14" t="s">
        <v>15</v>
      </c>
      <c r="E21" s="2">
        <v>4</v>
      </c>
      <c r="F21" s="5">
        <v>410000</v>
      </c>
      <c r="G21" s="8">
        <v>0.6</v>
      </c>
      <c r="H21" s="18">
        <v>20000</v>
      </c>
      <c r="I21" s="13">
        <f t="shared" ref="I21:I25" si="2">F21-H21</f>
        <v>390000</v>
      </c>
      <c r="J21" s="19">
        <v>10000</v>
      </c>
      <c r="K21" s="19">
        <v>400</v>
      </c>
      <c r="L21" s="17"/>
      <c r="M21" s="19">
        <f t="shared" ref="M21:M25" si="3">F21+H21+I21+J21+K21</f>
        <v>830400</v>
      </c>
      <c r="N21" s="19">
        <v>2000000</v>
      </c>
    </row>
    <row r="22" spans="4:14" ht="15.75" thickBot="1" x14ac:dyDescent="0.3">
      <c r="D22" s="14" t="s">
        <v>16</v>
      </c>
      <c r="E22" s="3">
        <v>5</v>
      </c>
      <c r="F22" s="5">
        <v>410000</v>
      </c>
      <c r="G22" s="9">
        <v>0.59</v>
      </c>
      <c r="H22" s="5">
        <v>20000</v>
      </c>
      <c r="I22" s="13">
        <f>F22-H22</f>
        <v>390000</v>
      </c>
      <c r="J22" s="19">
        <v>8000</v>
      </c>
      <c r="K22" s="19">
        <v>700</v>
      </c>
      <c r="L22" s="17"/>
      <c r="M22" s="19">
        <f t="shared" si="3"/>
        <v>828700</v>
      </c>
      <c r="N22" s="19">
        <v>2000000</v>
      </c>
    </row>
    <row r="23" spans="4:14" ht="15.75" thickBot="1" x14ac:dyDescent="0.3">
      <c r="D23" s="14" t="s">
        <v>17</v>
      </c>
      <c r="E23" s="2">
        <v>4</v>
      </c>
      <c r="F23" s="5">
        <v>410000</v>
      </c>
      <c r="G23" s="9">
        <v>0.48</v>
      </c>
      <c r="H23" s="5">
        <v>20000</v>
      </c>
      <c r="I23" s="13">
        <f t="shared" si="2"/>
        <v>390000</v>
      </c>
      <c r="J23" s="19">
        <v>7000</v>
      </c>
      <c r="K23" s="19">
        <v>900</v>
      </c>
      <c r="L23" s="17"/>
      <c r="M23" s="19">
        <f t="shared" si="3"/>
        <v>827900</v>
      </c>
      <c r="N23" s="19">
        <v>2000000</v>
      </c>
    </row>
    <row r="24" spans="4:14" ht="15.75" thickBot="1" x14ac:dyDescent="0.3">
      <c r="D24" s="14" t="s">
        <v>18</v>
      </c>
      <c r="E24" s="4">
        <v>2</v>
      </c>
      <c r="F24" s="5">
        <v>410000</v>
      </c>
      <c r="G24" s="10">
        <v>0.3</v>
      </c>
      <c r="H24" s="18">
        <v>20000</v>
      </c>
      <c r="I24" s="13">
        <f t="shared" si="2"/>
        <v>390000</v>
      </c>
      <c r="J24" s="19">
        <v>4000</v>
      </c>
      <c r="K24" s="19">
        <v>445</v>
      </c>
      <c r="L24" s="17"/>
      <c r="M24" s="19">
        <f t="shared" si="3"/>
        <v>824445</v>
      </c>
      <c r="N24" s="19">
        <v>2000000</v>
      </c>
    </row>
    <row r="25" spans="4:14" ht="15.75" thickBot="1" x14ac:dyDescent="0.3">
      <c r="D25" s="14" t="s">
        <v>19</v>
      </c>
      <c r="E25" s="2">
        <v>3</v>
      </c>
      <c r="F25" s="5">
        <v>410000</v>
      </c>
      <c r="G25" s="11">
        <v>0.7</v>
      </c>
      <c r="H25" s="5">
        <v>20000</v>
      </c>
      <c r="I25" s="13">
        <f t="shared" si="2"/>
        <v>390000</v>
      </c>
      <c r="J25" s="19">
        <v>4000</v>
      </c>
      <c r="K25" s="19">
        <v>300</v>
      </c>
      <c r="L25" s="17"/>
      <c r="M25" s="19">
        <f t="shared" si="3"/>
        <v>824300</v>
      </c>
      <c r="N25" s="19">
        <v>2000000</v>
      </c>
    </row>
    <row r="26" spans="4:14" x14ac:dyDescent="0.25">
      <c r="D26" s="24"/>
      <c r="E26" s="25"/>
      <c r="F26" s="25"/>
      <c r="G26" s="25"/>
      <c r="H26" s="26"/>
      <c r="I26" s="21"/>
      <c r="J26" s="21"/>
      <c r="K26" s="21"/>
      <c r="L26" s="21"/>
      <c r="M26" s="21"/>
    </row>
  </sheetData>
  <mergeCells count="20">
    <mergeCell ref="N18:N19"/>
    <mergeCell ref="D26:H26"/>
    <mergeCell ref="I4:I5"/>
    <mergeCell ref="D18:D19"/>
    <mergeCell ref="E18:E19"/>
    <mergeCell ref="F18:F19"/>
    <mergeCell ref="G18:G19"/>
    <mergeCell ref="H18:H19"/>
    <mergeCell ref="I18:I19"/>
    <mergeCell ref="D12:H12"/>
    <mergeCell ref="H4:H5"/>
    <mergeCell ref="G4:G5"/>
    <mergeCell ref="F4:F5"/>
    <mergeCell ref="E4:E5"/>
    <mergeCell ref="D4:D5"/>
    <mergeCell ref="I26:M26"/>
    <mergeCell ref="J18:J19"/>
    <mergeCell ref="K18:K19"/>
    <mergeCell ref="L18:L19"/>
    <mergeCell ref="M18:M19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93B9F-9027-4FE8-87F5-B37C31BC3580}">
  <dimension ref="A1:L8"/>
  <sheetViews>
    <sheetView tabSelected="1" topLeftCell="B1" workbookViewId="0">
      <selection activeCell="D25" sqref="D25"/>
    </sheetView>
  </sheetViews>
  <sheetFormatPr defaultRowHeight="15" x14ac:dyDescent="0.25"/>
  <cols>
    <col min="2" max="2" width="8.140625" bestFit="1" customWidth="1"/>
    <col min="3" max="3" width="15" bestFit="1" customWidth="1"/>
    <col min="4" max="4" width="8.85546875" bestFit="1" customWidth="1"/>
    <col min="5" max="5" width="10.5703125" bestFit="1" customWidth="1"/>
    <col min="6" max="6" width="9.5703125" bestFit="1" customWidth="1"/>
    <col min="7" max="7" width="14" bestFit="1" customWidth="1"/>
    <col min="8" max="8" width="6.140625" bestFit="1" customWidth="1"/>
    <col min="10" max="10" width="22.5703125" bestFit="1" customWidth="1"/>
  </cols>
  <sheetData>
    <row r="1" spans="1:12" x14ac:dyDescent="0.25">
      <c r="A1" s="22" t="s">
        <v>13</v>
      </c>
      <c r="B1" s="22" t="s">
        <v>23</v>
      </c>
      <c r="C1" s="22" t="s">
        <v>20</v>
      </c>
      <c r="D1" s="22" t="s">
        <v>21</v>
      </c>
      <c r="E1" s="22" t="s">
        <v>22</v>
      </c>
      <c r="F1" s="22" t="s">
        <v>24</v>
      </c>
      <c r="G1" s="22" t="s">
        <v>25</v>
      </c>
      <c r="H1" s="22" t="s">
        <v>26</v>
      </c>
      <c r="I1" s="22"/>
      <c r="J1" s="22" t="s">
        <v>27</v>
      </c>
      <c r="K1" s="22" t="s">
        <v>28</v>
      </c>
      <c r="L1" s="22" t="s">
        <v>29</v>
      </c>
    </row>
    <row r="2" spans="1:1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x14ac:dyDescent="0.25">
      <c r="A3" t="str">
        <f>niaz!D20</f>
        <v>January</v>
      </c>
      <c r="B3">
        <f>niaz!E20</f>
        <v>3</v>
      </c>
      <c r="C3">
        <f>niaz!F20</f>
        <v>410000</v>
      </c>
      <c r="D3" s="20">
        <f>niaz!G20</f>
        <v>0.44</v>
      </c>
      <c r="E3" s="20">
        <f>niaz!H20</f>
        <v>20000</v>
      </c>
      <c r="F3">
        <f>niaz!I21</f>
        <v>390000</v>
      </c>
      <c r="G3">
        <f>niaz!J20</f>
        <v>5000</v>
      </c>
      <c r="H3">
        <f>niaz!K20</f>
        <v>500</v>
      </c>
      <c r="J3">
        <f>niaz!M20</f>
        <v>825500</v>
      </c>
      <c r="K3">
        <f>niaz!N20</f>
        <v>2000000</v>
      </c>
      <c r="L3">
        <f>K3-J3</f>
        <v>1174500</v>
      </c>
    </row>
    <row r="4" spans="1:12" x14ac:dyDescent="0.25">
      <c r="A4" t="str">
        <f>niaz!D21</f>
        <v>February</v>
      </c>
      <c r="B4">
        <f>niaz!E21</f>
        <v>4</v>
      </c>
      <c r="C4">
        <f>niaz!F21</f>
        <v>410000</v>
      </c>
      <c r="D4" s="20">
        <f>niaz!G21</f>
        <v>0.6</v>
      </c>
      <c r="E4" s="20">
        <f>niaz!H21</f>
        <v>20000</v>
      </c>
      <c r="F4">
        <f>niaz!I21</f>
        <v>390000</v>
      </c>
      <c r="G4">
        <f>niaz!J21</f>
        <v>10000</v>
      </c>
      <c r="H4">
        <f>niaz!K21</f>
        <v>400</v>
      </c>
      <c r="J4">
        <f>niaz!M21</f>
        <v>830400</v>
      </c>
      <c r="K4">
        <f>niaz!N21</f>
        <v>2000000</v>
      </c>
      <c r="L4">
        <f>K4-J4</f>
        <v>1169600</v>
      </c>
    </row>
    <row r="5" spans="1:12" x14ac:dyDescent="0.25">
      <c r="A5" t="str">
        <f>niaz!D22</f>
        <v>March</v>
      </c>
      <c r="B5">
        <f>niaz!E22</f>
        <v>5</v>
      </c>
      <c r="C5">
        <f>niaz!F22</f>
        <v>410000</v>
      </c>
      <c r="D5" s="20">
        <f>niaz!G22</f>
        <v>0.59</v>
      </c>
      <c r="E5" s="20">
        <f>niaz!H22</f>
        <v>20000</v>
      </c>
      <c r="F5">
        <f>niaz!I22</f>
        <v>390000</v>
      </c>
      <c r="G5">
        <f>niaz!J22</f>
        <v>8000</v>
      </c>
      <c r="H5">
        <f>niaz!K22</f>
        <v>700</v>
      </c>
      <c r="J5">
        <f>niaz!M22</f>
        <v>828700</v>
      </c>
      <c r="K5">
        <f>niaz!N22</f>
        <v>2000000</v>
      </c>
      <c r="L5">
        <f>K5-J5</f>
        <v>1171300</v>
      </c>
    </row>
    <row r="6" spans="1:12" x14ac:dyDescent="0.25">
      <c r="A6" t="str">
        <f>niaz!D23</f>
        <v>April</v>
      </c>
      <c r="B6">
        <f>niaz!E23</f>
        <v>4</v>
      </c>
      <c r="C6">
        <f>niaz!F23</f>
        <v>410000</v>
      </c>
      <c r="D6" s="20">
        <f>niaz!G23</f>
        <v>0.48</v>
      </c>
      <c r="E6" s="20">
        <f>niaz!H23</f>
        <v>20000</v>
      </c>
      <c r="F6">
        <f>niaz!I23</f>
        <v>390000</v>
      </c>
      <c r="G6">
        <f>niaz!J23</f>
        <v>7000</v>
      </c>
      <c r="H6">
        <f>niaz!K23</f>
        <v>900</v>
      </c>
      <c r="J6">
        <f>niaz!M23</f>
        <v>827900</v>
      </c>
      <c r="K6">
        <f>niaz!N23</f>
        <v>2000000</v>
      </c>
      <c r="L6">
        <f>K6-J6</f>
        <v>1172100</v>
      </c>
    </row>
    <row r="7" spans="1:12" x14ac:dyDescent="0.25">
      <c r="A7" t="str">
        <f>niaz!D24</f>
        <v>May</v>
      </c>
      <c r="B7">
        <f>niaz!E24</f>
        <v>2</v>
      </c>
      <c r="C7">
        <f>niaz!F24</f>
        <v>410000</v>
      </c>
      <c r="D7" s="20">
        <f>niaz!G24</f>
        <v>0.3</v>
      </c>
      <c r="E7" s="20">
        <f>niaz!H24</f>
        <v>20000</v>
      </c>
      <c r="F7">
        <f>niaz!I24</f>
        <v>390000</v>
      </c>
      <c r="G7">
        <f>niaz!J24</f>
        <v>4000</v>
      </c>
      <c r="H7">
        <f>niaz!K24</f>
        <v>445</v>
      </c>
      <c r="J7">
        <f>niaz!M24</f>
        <v>824445</v>
      </c>
      <c r="K7">
        <f>niaz!N24</f>
        <v>2000000</v>
      </c>
      <c r="L7">
        <f>K7-J7</f>
        <v>1175555</v>
      </c>
    </row>
    <row r="8" spans="1:12" x14ac:dyDescent="0.25">
      <c r="A8" t="str">
        <f>niaz!D25</f>
        <v>June</v>
      </c>
      <c r="B8">
        <f>niaz!E25</f>
        <v>3</v>
      </c>
      <c r="C8">
        <f>niaz!F25</f>
        <v>410000</v>
      </c>
      <c r="D8" s="20">
        <f>niaz!G25</f>
        <v>0.7</v>
      </c>
      <c r="E8" s="20">
        <f>niaz!H25</f>
        <v>20000</v>
      </c>
      <c r="F8">
        <f>niaz!I25</f>
        <v>390000</v>
      </c>
      <c r="G8">
        <f>niaz!J25</f>
        <v>4000</v>
      </c>
      <c r="H8">
        <f>niaz!K25</f>
        <v>300</v>
      </c>
      <c r="J8">
        <f>niaz!M25</f>
        <v>824300</v>
      </c>
      <c r="K8">
        <f>niaz!N25</f>
        <v>2000000</v>
      </c>
      <c r="L8">
        <f>K8-J8</f>
        <v>1175700</v>
      </c>
    </row>
  </sheetData>
  <mergeCells count="12">
    <mergeCell ref="F1:F2"/>
    <mergeCell ref="L1:L2"/>
    <mergeCell ref="A1:A2"/>
    <mergeCell ref="B1:B2"/>
    <mergeCell ref="C1:C2"/>
    <mergeCell ref="D1:D2"/>
    <mergeCell ref="E1:E2"/>
    <mergeCell ref="G1:G2"/>
    <mergeCell ref="H1:H2"/>
    <mergeCell ref="I1:I2"/>
    <mergeCell ref="J1:J2"/>
    <mergeCell ref="K1:K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niaz</vt:lpstr>
      <vt:lpstr>rafin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WDPF PC-08</cp:lastModifiedBy>
  <dcterms:created xsi:type="dcterms:W3CDTF">2015-06-05T18:17:20Z</dcterms:created>
  <dcterms:modified xsi:type="dcterms:W3CDTF">2026-01-20T03:22:24Z</dcterms:modified>
</cp:coreProperties>
</file>