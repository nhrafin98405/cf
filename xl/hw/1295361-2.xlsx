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rafin\xl-hw\"/>
    </mc:Choice>
  </mc:AlternateContent>
  <xr:revisionPtr revIDLastSave="0" documentId="13_ncr:1_{D4A0D425-0803-4037-A964-9CA95237E0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</calcChain>
</file>

<file path=xl/sharedStrings.xml><?xml version="1.0" encoding="utf-8"?>
<sst xmlns="http://schemas.openxmlformats.org/spreadsheetml/2006/main" count="17" uniqueCount="17">
  <si>
    <t>Name</t>
  </si>
  <si>
    <t>Basic Pay</t>
  </si>
  <si>
    <t>House Rent</t>
  </si>
  <si>
    <t>Gross Pay</t>
  </si>
  <si>
    <t>Transport</t>
  </si>
  <si>
    <t>Medical Allowance</t>
  </si>
  <si>
    <t>Employee ID</t>
  </si>
  <si>
    <t>Rafin</t>
  </si>
  <si>
    <t>Hasan</t>
  </si>
  <si>
    <t>Smrity</t>
  </si>
  <si>
    <t>Zakiya</t>
  </si>
  <si>
    <t>Niaz</t>
  </si>
  <si>
    <t>Nitul</t>
  </si>
  <si>
    <t>Sakibul</t>
  </si>
  <si>
    <t>Sultan</t>
  </si>
  <si>
    <t>N.H.Rafin</t>
  </si>
  <si>
    <t>Mostofa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</si>
</sst>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৳-845]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0" fillId="0" borderId="7" xfId="0" applyBorder="1" applyAlignment="1">
      <alignment horizontal="left"/>
    </xf>
    <xf numFmtId="0" fontId="0" fillId="0" borderId="2" xfId="0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 applyAlignment="1">
      <alignment horizontal="left"/>
    </xf>
    <xf numFmtId="0" fontId="0" fillId="0" borderId="11" xfId="0" applyBorder="1"/>
    <xf numFmtId="164" fontId="0" fillId="0" borderId="11" xfId="0" applyNumberFormat="1" applyBorder="1"/>
    <xf numFmtId="164" fontId="0" fillId="0" borderId="1" xfId="0" applyNumberFormat="1" applyBorder="1"/>
    <xf numFmtId="0" fontId="0" fillId="0" borderId="12" xfId="0" applyBorder="1" applyAlignment="1">
      <alignment horizontal="left"/>
    </xf>
    <xf numFmtId="0" fontId="0" fillId="0" borderId="9" xfId="0" applyBorder="1"/>
    <xf numFmtId="164" fontId="0" fillId="0" borderId="3" xfId="0" applyNumberFormat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K15"/>
  <sheetViews>
    <sheetView tabSelected="1" workbookViewId="0">
      <selection activeCell="H13" sqref="H13"/>
    </sheetView>
  </sheetViews>
  <sheetFormatPr defaultRowHeight="15" x14ac:dyDescent="0.25"/>
  <cols>
    <col min="5" max="5" width="14.85546875" style="1" customWidth="1"/>
    <col min="6" max="7" width="15.85546875" customWidth="1"/>
    <col min="8" max="8" width="16.85546875" customWidth="1"/>
    <col min="9" max="9" width="20.28515625" customWidth="1"/>
    <col min="10" max="10" width="14.28515625" customWidth="1"/>
    <col min="11" max="11" width="15.85546875" customWidth="1"/>
  </cols>
  <sheetData>
    <row r="4" spans="4:11" ht="15.75" thickBot="1" x14ac:dyDescent="0.3"/>
    <row r="5" spans="4:11" ht="15.75" thickBot="1" x14ac:dyDescent="0.3">
      <c r="D5" s="2"/>
      <c r="E5" s="15" t="s">
        <v>6</v>
      </c>
      <c r="F5" s="16" t="s">
        <v>0</v>
      </c>
      <c r="G5" s="16" t="s">
        <v>1</v>
      </c>
      <c r="H5" s="16" t="s">
        <v>2</v>
      </c>
      <c r="I5" s="16" t="s">
        <v>5</v>
      </c>
      <c r="J5" s="16" t="s">
        <v>4</v>
      </c>
      <c r="K5" s="17" t="s">
        <v>3</v>
      </c>
    </row>
    <row r="6" spans="4:11" ht="15.75" thickBot="1" x14ac:dyDescent="0.3">
      <c r="E6" s="3">
        <v>2026001</v>
      </c>
      <c r="F6" s="4" t="s">
        <v>7</v>
      </c>
      <c r="G6" s="5">
        <v>50000</v>
      </c>
      <c r="H6" s="5">
        <f>G6*30%</f>
        <v>15000</v>
      </c>
      <c r="I6" s="5">
        <f>G6*10%</f>
        <v>5000</v>
      </c>
      <c r="J6" s="5">
        <f>G6*8%</f>
        <v>4000</v>
      </c>
      <c r="K6" s="6">
        <f>SUM(G6,H6,I6,J6,)</f>
        <v>74000</v>
      </c>
    </row>
    <row r="7" spans="4:11" ht="15.75" thickBot="1" x14ac:dyDescent="0.3">
      <c r="E7" s="3">
        <v>2026002</v>
      </c>
      <c r="F7" s="4" t="s">
        <v>8</v>
      </c>
      <c r="G7" s="5">
        <v>30000</v>
      </c>
      <c r="H7" s="5">
        <f t="shared" ref="H7:H15" si="0">G7*30%</f>
        <v>9000</v>
      </c>
      <c r="I7" s="5">
        <f t="shared" ref="I7:I15" si="1">G7*10%</f>
        <v>3000</v>
      </c>
      <c r="J7" s="5">
        <f t="shared" ref="J7:J15" si="2">G7*8%</f>
        <v>2400</v>
      </c>
      <c r="K7" s="6">
        <f t="shared" ref="K7:K15" si="3">SUM(G7,H7,I7,J7,)</f>
        <v>44400</v>
      </c>
    </row>
    <row r="8" spans="4:11" ht="15.75" thickBot="1" x14ac:dyDescent="0.3">
      <c r="E8" s="3">
        <v>2026003</v>
      </c>
      <c r="F8" s="4" t="s">
        <v>9</v>
      </c>
      <c r="G8" s="5">
        <v>40000</v>
      </c>
      <c r="H8" s="5">
        <f t="shared" si="0"/>
        <v>12000</v>
      </c>
      <c r="I8" s="5">
        <f t="shared" si="1"/>
        <v>4000</v>
      </c>
      <c r="J8" s="5">
        <f t="shared" si="2"/>
        <v>3200</v>
      </c>
      <c r="K8" s="6">
        <f t="shared" si="3"/>
        <v>59200</v>
      </c>
    </row>
    <row r="9" spans="4:11" ht="15.75" thickBot="1" x14ac:dyDescent="0.3">
      <c r="E9" s="3">
        <v>2026004</v>
      </c>
      <c r="F9" s="4" t="s">
        <v>10</v>
      </c>
      <c r="G9" s="5">
        <v>45000</v>
      </c>
      <c r="H9" s="5">
        <f t="shared" si="0"/>
        <v>13500</v>
      </c>
      <c r="I9" s="5">
        <f t="shared" si="1"/>
        <v>4500</v>
      </c>
      <c r="J9" s="5">
        <f t="shared" si="2"/>
        <v>3600</v>
      </c>
      <c r="K9" s="6">
        <f t="shared" si="3"/>
        <v>66600</v>
      </c>
    </row>
    <row r="10" spans="4:11" ht="15.75" thickBot="1" x14ac:dyDescent="0.3">
      <c r="E10" s="3">
        <v>2026005</v>
      </c>
      <c r="F10" s="4" t="s">
        <v>11</v>
      </c>
      <c r="G10" s="5">
        <v>42000</v>
      </c>
      <c r="H10" s="5">
        <f t="shared" si="0"/>
        <v>12600</v>
      </c>
      <c r="I10" s="5">
        <f t="shared" si="1"/>
        <v>4200</v>
      </c>
      <c r="J10" s="5">
        <f t="shared" si="2"/>
        <v>3360</v>
      </c>
      <c r="K10" s="6">
        <f t="shared" si="3"/>
        <v>62160</v>
      </c>
    </row>
    <row r="11" spans="4:11" ht="15.75" thickBot="1" x14ac:dyDescent="0.3">
      <c r="E11" s="3">
        <v>2026006</v>
      </c>
      <c r="F11" s="4" t="s">
        <v>12</v>
      </c>
      <c r="G11" s="5">
        <v>55000</v>
      </c>
      <c r="H11" s="5">
        <f t="shared" si="0"/>
        <v>16500</v>
      </c>
      <c r="I11" s="5">
        <f t="shared" si="1"/>
        <v>5500</v>
      </c>
      <c r="J11" s="5">
        <f t="shared" si="2"/>
        <v>4400</v>
      </c>
      <c r="K11" s="6">
        <f t="shared" si="3"/>
        <v>81400</v>
      </c>
    </row>
    <row r="12" spans="4:11" ht="15.75" thickBot="1" x14ac:dyDescent="0.3">
      <c r="E12" s="8">
        <v>2026007</v>
      </c>
      <c r="F12" s="9" t="s">
        <v>13</v>
      </c>
      <c r="G12" s="10">
        <v>35000</v>
      </c>
      <c r="H12" s="10">
        <f t="shared" si="0"/>
        <v>10500</v>
      </c>
      <c r="I12" s="10">
        <f t="shared" si="1"/>
        <v>3500</v>
      </c>
      <c r="J12" s="10">
        <f t="shared" si="2"/>
        <v>2800</v>
      </c>
      <c r="K12" s="11">
        <f t="shared" si="3"/>
        <v>51800</v>
      </c>
    </row>
    <row r="13" spans="4:11" ht="15.75" thickBot="1" x14ac:dyDescent="0.3">
      <c r="E13" s="3">
        <v>2026008</v>
      </c>
      <c r="F13" s="4" t="s">
        <v>14</v>
      </c>
      <c r="G13" s="5">
        <v>25000</v>
      </c>
      <c r="H13" s="5">
        <f t="shared" si="0"/>
        <v>7500</v>
      </c>
      <c r="I13" s="5">
        <f t="shared" si="1"/>
        <v>2500</v>
      </c>
      <c r="J13" s="5">
        <f t="shared" si="2"/>
        <v>2000</v>
      </c>
      <c r="K13" s="6">
        <f t="shared" si="3"/>
        <v>37000</v>
      </c>
    </row>
    <row r="14" spans="4:11" ht="15.75" thickBot="1" x14ac:dyDescent="0.3">
      <c r="E14" s="3">
        <v>2026009</v>
      </c>
      <c r="F14" s="4" t="s">
        <v>15</v>
      </c>
      <c r="G14" s="5">
        <v>60000</v>
      </c>
      <c r="H14" s="5">
        <f t="shared" si="0"/>
        <v>18000</v>
      </c>
      <c r="I14" s="5">
        <f t="shared" si="1"/>
        <v>6000</v>
      </c>
      <c r="J14" s="5">
        <f t="shared" si="2"/>
        <v>4800</v>
      </c>
      <c r="K14" s="6">
        <f t="shared" si="3"/>
        <v>88800</v>
      </c>
    </row>
    <row r="15" spans="4:11" ht="15.75" thickBot="1" x14ac:dyDescent="0.3">
      <c r="E15" s="12">
        <v>2026010</v>
      </c>
      <c r="F15" s="13" t="s">
        <v>16</v>
      </c>
      <c r="G15" s="7">
        <v>20000</v>
      </c>
      <c r="H15" s="7">
        <f t="shared" si="0"/>
        <v>6000</v>
      </c>
      <c r="I15" s="7">
        <f t="shared" si="1"/>
        <v>2000</v>
      </c>
      <c r="J15" s="7">
        <f t="shared" si="2"/>
        <v>1600</v>
      </c>
      <c r="K15" s="14">
        <f t="shared" si="3"/>
        <v>29600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2026-01-17T16:32:30Z</dcterms:modified>
</cp:coreProperties>
</file>