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afin\xl\hw\"/>
    </mc:Choice>
  </mc:AlternateContent>
  <xr:revisionPtr revIDLastSave="0" documentId="13_ncr:1_{DC43A5F6-FF6B-4BC3-AC09-935361471B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az" sheetId="1" r:id="rId1"/>
    <sheet name="has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B2" i="2"/>
  <c r="C23" i="1"/>
  <c r="E3" i="2" s="1"/>
  <c r="D23" i="1"/>
  <c r="E4" i="2" s="1"/>
  <c r="E23" i="1"/>
  <c r="E5" i="2" s="1"/>
  <c r="F23" i="1"/>
  <c r="E6" i="2" s="1"/>
  <c r="G23" i="1"/>
  <c r="E7" i="2" s="1"/>
  <c r="I22" i="1"/>
  <c r="B8" i="2" s="1"/>
  <c r="F7" i="2"/>
  <c r="I21" i="1"/>
  <c r="B7" i="2" s="1"/>
  <c r="F6" i="2"/>
  <c r="I20" i="1"/>
  <c r="B6" i="2" s="1"/>
  <c r="F5" i="2"/>
  <c r="I19" i="1"/>
  <c r="B5" i="2" s="1"/>
  <c r="F4" i="2"/>
  <c r="I18" i="1"/>
  <c r="B4" i="2" s="1"/>
  <c r="F3" i="2"/>
  <c r="I17" i="1"/>
  <c r="B3" i="2" s="1"/>
  <c r="F2" i="2"/>
  <c r="B23" i="1"/>
  <c r="E2" i="2" s="1"/>
  <c r="H22" i="1"/>
  <c r="H21" i="1"/>
  <c r="H20" i="1"/>
  <c r="H19" i="1"/>
  <c r="H18" i="1"/>
</calcChain>
</file>

<file path=xl/sharedStrings.xml><?xml version="1.0" encoding="utf-8"?>
<sst xmlns="http://schemas.openxmlformats.org/spreadsheetml/2006/main" count="42" uniqueCount="34">
  <si>
    <t>Monthly Budget</t>
  </si>
  <si>
    <t>January 2022 – June 2022</t>
  </si>
  <si>
    <t>House Payment</t>
  </si>
  <si>
    <t>Gasoline</t>
  </si>
  <si>
    <t>Groceries</t>
  </si>
  <si>
    <t>Utilities</t>
  </si>
  <si>
    <t>Insurance</t>
  </si>
  <si>
    <t>Entertainment</t>
  </si>
  <si>
    <t>Other</t>
  </si>
  <si>
    <t>Monthly Expenses Total</t>
  </si>
  <si>
    <t>Income</t>
  </si>
  <si>
    <t>Category</t>
  </si>
  <si>
    <t>Total (Jan-Jun)</t>
  </si>
  <si>
    <t>Month</t>
  </si>
  <si>
    <t>January</t>
  </si>
  <si>
    <t>February</t>
  </si>
  <si>
    <t>March</t>
  </si>
  <si>
    <t>April</t>
  </si>
  <si>
    <t>May</t>
  </si>
  <si>
    <t>June</t>
  </si>
  <si>
    <t>Chart Date:</t>
  </si>
  <si>
    <t>December 12, 2025</t>
  </si>
  <si>
    <t>Name: Shuchita Faruque Shirsha</t>
  </si>
  <si>
    <t>FINAL PART A</t>
  </si>
  <si>
    <t>Expenses</t>
  </si>
  <si>
    <t>Expence Catagori's</t>
  </si>
  <si>
    <t>jan</t>
  </si>
  <si>
    <t>feb</t>
  </si>
  <si>
    <t>mar</t>
  </si>
  <si>
    <t>apr</t>
  </si>
  <si>
    <t>may</t>
  </si>
  <si>
    <t>jun</t>
  </si>
  <si>
    <t>avg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</si>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</sst>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6">
    <font>
      <sz val="11"/>
      <color theme="1"/>
      <name val="Calibri"/>
      <family val="2"/>
      <scheme val="minor"/>
    </font>
    <font>
      <b/>
      <sz val="11"/>
      <name val="BakerSignet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/>
      <diagonal/>
    </border>
    <border>
      <left style="medium">
        <color theme="8" tint="0.59999389629810485"/>
      </left>
      <right style="thin">
        <color theme="8" tint="0.59999389629810485"/>
      </right>
      <top style="medium">
        <color theme="8" tint="0.59999389629810485"/>
      </top>
      <bottom/>
      <diagonal/>
    </border>
    <border>
      <left/>
      <right style="thin">
        <color theme="8" tint="0.59999389629810485"/>
      </right>
      <top style="medium">
        <color theme="8" tint="0.59999389629810485"/>
      </top>
      <bottom/>
      <diagonal/>
    </border>
    <border>
      <left style="medium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 style="medium">
        <color theme="8" tint="0.59999389629810485"/>
      </right>
      <top style="thin">
        <color theme="8" tint="0.59999389629810485"/>
      </top>
      <bottom/>
      <diagonal/>
    </border>
    <border>
      <left style="medium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medium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/>
      <right style="medium">
        <color theme="8" tint="0.59999389629810485"/>
      </right>
      <top/>
      <bottom style="thin">
        <color theme="8" tint="0.59999389629810485"/>
      </bottom>
      <diagonal/>
    </border>
    <border>
      <left style="medium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medium">
        <color theme="8" tint="0.59999389629810485"/>
      </bottom>
      <diagonal/>
    </border>
    <border>
      <left/>
      <right/>
      <top style="thin">
        <color theme="8" tint="0.59999389629810485"/>
      </top>
      <bottom style="medium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theme="8" tint="0.59999389629810485"/>
      </bottom>
      <diagonal/>
    </border>
    <border>
      <left/>
      <right style="medium">
        <color theme="8" tint="0.59999389629810485"/>
      </right>
      <top style="thin">
        <color theme="8" tint="0.59999389629810485"/>
      </top>
      <bottom style="medium">
        <color theme="8" tint="0.59999389629810485"/>
      </bottom>
      <diagonal/>
    </border>
    <border>
      <left style="medium">
        <color theme="8" tint="0.59999389629810485"/>
      </left>
      <right/>
      <top style="medium">
        <color theme="8" tint="0.59999389629810485"/>
      </top>
      <bottom style="medium">
        <color theme="8" tint="0.59999389629810485"/>
      </bottom>
      <diagonal/>
    </border>
    <border>
      <left/>
      <right/>
      <top style="medium">
        <color theme="8" tint="0.59999389629810485"/>
      </top>
      <bottom style="medium">
        <color theme="8" tint="0.59999389629810485"/>
      </bottom>
      <diagonal/>
    </border>
    <border>
      <left/>
      <right style="medium">
        <color theme="8" tint="0.59999389629810485"/>
      </right>
      <top style="medium">
        <color theme="8" tint="0.59999389629810485"/>
      </top>
      <bottom style="medium">
        <color theme="8" tint="0.59999389629810485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0" fillId="0" borderId="4" xfId="0" applyBorder="1"/>
    <xf numFmtId="164" fontId="0" fillId="0" borderId="5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7" xfId="0" applyNumberFormat="1" applyBorder="1"/>
    <xf numFmtId="0" fontId="1" fillId="0" borderId="11" xfId="0" applyFont="1" applyBorder="1"/>
    <xf numFmtId="164" fontId="0" fillId="0" borderId="12" xfId="0" applyNumberFormat="1" applyBorder="1"/>
    <xf numFmtId="0" fontId="1" fillId="0" borderId="13" xfId="0" applyFont="1" applyBorder="1"/>
    <xf numFmtId="164" fontId="0" fillId="0" borderId="14" xfId="0" applyNumberFormat="1" applyBorder="1"/>
    <xf numFmtId="0" fontId="1" fillId="0" borderId="15" xfId="0" applyFont="1" applyBorder="1"/>
    <xf numFmtId="164" fontId="0" fillId="0" borderId="16" xfId="0" applyNumberFormat="1" applyBorder="1"/>
    <xf numFmtId="0" fontId="1" fillId="0" borderId="17" xfId="0" applyFont="1" applyBorder="1"/>
    <xf numFmtId="164" fontId="0" fillId="0" borderId="18" xfId="0" applyNumberFormat="1" applyBorder="1"/>
    <xf numFmtId="0" fontId="2" fillId="0" borderId="17" xfId="0" applyFont="1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2" fillId="0" borderId="19" xfId="0" applyFont="1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22" xfId="0" applyBorder="1"/>
    <xf numFmtId="0" fontId="0" fillId="0" borderId="23" xfId="0" applyBorder="1"/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Spending by Category (Jan–Jun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882-4C83-8599-7F4E5E27AC3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882-4C83-8599-7F4E5E27AC3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882-4C83-8599-7F4E5E27AC3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882-4C83-8599-7F4E5E27AC3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882-4C83-8599-7F4E5E27AC3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882-4C83-8599-7F4E5E27AC3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882-4C83-8599-7F4E5E27AC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hasan!$A$2:$A$8</c:f>
              <c:strCache>
                <c:ptCount val="7"/>
                <c:pt idx="0">
                  <c:v>House Payment</c:v>
                </c:pt>
                <c:pt idx="1">
                  <c:v>Gasoline</c:v>
                </c:pt>
                <c:pt idx="2">
                  <c:v>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hasan!$B$2:$B$8</c:f>
              <c:numCache>
                <c:formatCode>"$"#,##0.00_-</c:formatCode>
                <c:ptCount val="7"/>
                <c:pt idx="0">
                  <c:v>4407</c:v>
                </c:pt>
                <c:pt idx="1">
                  <c:v>30315</c:v>
                </c:pt>
                <c:pt idx="2">
                  <c:v>21000</c:v>
                </c:pt>
                <c:pt idx="3">
                  <c:v>9015</c:v>
                </c:pt>
                <c:pt idx="4">
                  <c:v>120000</c:v>
                </c:pt>
                <c:pt idx="5">
                  <c:v>60000</c:v>
                </c:pt>
                <c:pt idx="6">
                  <c:v>45549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6-1A45-A870-93D58EF7786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Income vs Expenses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hasan!$D$2:$D$7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hasan!$E$2:$E$7</c:f>
              <c:numCache>
                <c:formatCode>"$"#,##0.00_-</c:formatCode>
                <c:ptCount val="6"/>
                <c:pt idx="0">
                  <c:v>52039</c:v>
                </c:pt>
                <c:pt idx="1">
                  <c:v>52043</c:v>
                </c:pt>
                <c:pt idx="2">
                  <c:v>52047</c:v>
                </c:pt>
                <c:pt idx="3">
                  <c:v>52051</c:v>
                </c:pt>
                <c:pt idx="4">
                  <c:v>52055</c:v>
                </c:pt>
                <c:pt idx="5">
                  <c:v>52059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E-9B49-BE2D-E5F70A51B31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hasan!$D$2:$D$7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hasan!$F$2:$F$7</c:f>
              <c:numCache>
                <c:formatCode>"$"#,##0.00_-</c:formatCode>
                <c:ptCount val="6"/>
                <c:pt idx="0">
                  <c:v>20000</c:v>
                </c:pt>
                <c:pt idx="1">
                  <c:v>21000</c:v>
                </c:pt>
                <c:pt idx="2">
                  <c:v>27000</c:v>
                </c:pt>
                <c:pt idx="3">
                  <c:v>19000</c:v>
                </c:pt>
                <c:pt idx="4">
                  <c:v>25000</c:v>
                </c:pt>
                <c:pt idx="5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E-9B49-BE2D-E5F70A51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topLeftCell="A10" workbookViewId="0">
      <selection activeCell="B15" sqref="B15"/>
    </sheetView>
  </sheetViews>
  <sheetFormatPr defaultRowHeight="15"/>
  <cols>
    <col min="1" max="1" width="20" customWidth="1"/>
    <col min="2" max="7" width="12" customWidth="1"/>
    <col min="8" max="8" width="14" customWidth="1"/>
    <col min="9" max="9" width="12" customWidth="1"/>
  </cols>
  <sheetData>
    <row r="2" spans="1:9">
      <c r="B2" t="s">
        <v>22</v>
      </c>
    </row>
    <row r="3" spans="1:9">
      <c r="B3" t="s">
        <v>23</v>
      </c>
    </row>
    <row r="12" spans="1:9" ht="15.75" thickBot="1"/>
    <row r="13" spans="1:9" ht="24" thickBot="1">
      <c r="A13" s="36" t="s">
        <v>0</v>
      </c>
      <c r="B13" s="37"/>
      <c r="C13" s="37"/>
      <c r="D13" s="37"/>
      <c r="E13" s="37"/>
      <c r="F13" s="37"/>
      <c r="G13" s="37"/>
      <c r="H13" s="37"/>
      <c r="I13" s="38"/>
    </row>
    <row r="14" spans="1:9" ht="24" thickBot="1">
      <c r="A14" s="36" t="s">
        <v>1</v>
      </c>
      <c r="B14" s="37"/>
      <c r="C14" s="37"/>
      <c r="D14" s="37"/>
      <c r="E14" s="37"/>
      <c r="F14" s="37"/>
      <c r="G14" s="37"/>
      <c r="H14" s="37"/>
      <c r="I14" s="38"/>
    </row>
    <row r="15" spans="1:9" ht="16.5" thickBot="1">
      <c r="A15" s="39" t="s">
        <v>25</v>
      </c>
      <c r="B15" s="39" t="s">
        <v>26</v>
      </c>
      <c r="C15" s="39" t="s">
        <v>27</v>
      </c>
      <c r="D15" s="39" t="s">
        <v>28</v>
      </c>
      <c r="E15" s="39" t="s">
        <v>29</v>
      </c>
      <c r="F15" s="39" t="s">
        <v>30</v>
      </c>
      <c r="G15" s="39" t="s">
        <v>31</v>
      </c>
      <c r="H15" s="39" t="s">
        <v>32</v>
      </c>
      <c r="I15" s="39" t="s">
        <v>33</v>
      </c>
    </row>
    <row r="16" spans="1:9">
      <c r="A16" s="19" t="s">
        <v>2</v>
      </c>
      <c r="B16" s="20">
        <v>4400</v>
      </c>
      <c r="C16" s="20">
        <v>4401</v>
      </c>
      <c r="D16" s="20">
        <v>4402</v>
      </c>
      <c r="E16" s="20">
        <v>4403</v>
      </c>
      <c r="F16" s="20">
        <v>4404</v>
      </c>
      <c r="G16" s="20">
        <v>4405</v>
      </c>
      <c r="H16" s="20">
        <f>AVERAGE(B16:G16)</f>
        <v>4402.5</v>
      </c>
      <c r="I16" s="20">
        <v>4407</v>
      </c>
    </row>
    <row r="17" spans="1:9">
      <c r="A17" s="21" t="s">
        <v>3</v>
      </c>
      <c r="B17" s="9">
        <v>5050</v>
      </c>
      <c r="C17" s="9">
        <v>5051</v>
      </c>
      <c r="D17" s="9">
        <v>5052</v>
      </c>
      <c r="E17" s="9">
        <v>5053</v>
      </c>
      <c r="F17" s="9">
        <v>5054</v>
      </c>
      <c r="G17" s="17">
        <v>5055</v>
      </c>
      <c r="H17" s="18">
        <f>AVERAGE(B17:G17)</f>
        <v>5052.5</v>
      </c>
      <c r="I17" s="22">
        <f t="shared" ref="I17:I22" si="0">SUM(B17:G17)</f>
        <v>30315</v>
      </c>
    </row>
    <row r="18" spans="1:9">
      <c r="A18" s="23" t="s">
        <v>4</v>
      </c>
      <c r="B18" s="13">
        <v>3500</v>
      </c>
      <c r="C18" s="13">
        <v>3500</v>
      </c>
      <c r="D18" s="13">
        <v>3500</v>
      </c>
      <c r="E18" s="13">
        <v>3500</v>
      </c>
      <c r="F18" s="13">
        <v>3500</v>
      </c>
      <c r="G18" s="14">
        <v>3500</v>
      </c>
      <c r="H18" s="16">
        <f t="shared" ref="H17:H22" si="1">AVERAGE(B18:G18)</f>
        <v>3500</v>
      </c>
      <c r="I18" s="24">
        <f t="shared" si="0"/>
        <v>21000</v>
      </c>
    </row>
    <row r="19" spans="1:9">
      <c r="A19" s="23" t="s">
        <v>5</v>
      </c>
      <c r="B19" s="13">
        <v>1500</v>
      </c>
      <c r="C19" s="13">
        <v>1501</v>
      </c>
      <c r="D19" s="13">
        <v>1502</v>
      </c>
      <c r="E19" s="13">
        <v>1503</v>
      </c>
      <c r="F19" s="13">
        <v>1504</v>
      </c>
      <c r="G19" s="14">
        <v>1505</v>
      </c>
      <c r="H19" s="16">
        <f t="shared" si="1"/>
        <v>1502.5</v>
      </c>
      <c r="I19" s="24">
        <f t="shared" si="0"/>
        <v>9015</v>
      </c>
    </row>
    <row r="20" spans="1:9">
      <c r="A20" s="23" t="s">
        <v>6</v>
      </c>
      <c r="B20" s="13">
        <v>20000</v>
      </c>
      <c r="C20" s="13">
        <v>20000</v>
      </c>
      <c r="D20" s="13">
        <v>20000</v>
      </c>
      <c r="E20" s="13">
        <v>20000</v>
      </c>
      <c r="F20" s="13">
        <v>20000</v>
      </c>
      <c r="G20" s="14">
        <v>20000</v>
      </c>
      <c r="H20" s="16">
        <f t="shared" si="1"/>
        <v>20000</v>
      </c>
      <c r="I20" s="24">
        <f t="shared" si="0"/>
        <v>120000</v>
      </c>
    </row>
    <row r="21" spans="1:9">
      <c r="A21" s="25" t="s">
        <v>7</v>
      </c>
      <c r="B21" s="8">
        <v>10000</v>
      </c>
      <c r="C21" s="8">
        <v>10000</v>
      </c>
      <c r="D21" s="8">
        <v>10000</v>
      </c>
      <c r="E21" s="8">
        <v>10000</v>
      </c>
      <c r="F21" s="8">
        <v>10000</v>
      </c>
      <c r="G21" s="7">
        <v>10000</v>
      </c>
      <c r="H21" s="15">
        <f t="shared" si="1"/>
        <v>10000</v>
      </c>
      <c r="I21" s="26">
        <f t="shared" si="0"/>
        <v>60000</v>
      </c>
    </row>
    <row r="22" spans="1:9">
      <c r="A22" s="23" t="s">
        <v>8</v>
      </c>
      <c r="B22" s="13">
        <v>7589</v>
      </c>
      <c r="C22" s="8">
        <v>7590</v>
      </c>
      <c r="D22" s="8">
        <v>7591</v>
      </c>
      <c r="E22" s="8">
        <v>7592</v>
      </c>
      <c r="F22" s="8">
        <v>7593</v>
      </c>
      <c r="G22" s="7">
        <v>7594</v>
      </c>
      <c r="H22" s="15">
        <f t="shared" si="1"/>
        <v>7591.5</v>
      </c>
      <c r="I22" s="26">
        <f t="shared" si="0"/>
        <v>45549</v>
      </c>
    </row>
    <row r="23" spans="1:9">
      <c r="A23" s="27" t="s">
        <v>9</v>
      </c>
      <c r="B23" s="8">
        <f t="shared" ref="B23:G23" si="2">SUM(B16:B22)</f>
        <v>52039</v>
      </c>
      <c r="C23" s="8">
        <f t="shared" si="2"/>
        <v>52043</v>
      </c>
      <c r="D23" s="8">
        <f t="shared" si="2"/>
        <v>52047</v>
      </c>
      <c r="E23" s="8">
        <f t="shared" si="2"/>
        <v>52051</v>
      </c>
      <c r="F23" s="8">
        <f t="shared" si="2"/>
        <v>52055</v>
      </c>
      <c r="G23" s="7">
        <f t="shared" si="2"/>
        <v>52059</v>
      </c>
      <c r="H23" s="6"/>
      <c r="I23" s="28"/>
    </row>
    <row r="24" spans="1:9">
      <c r="A24" s="29"/>
      <c r="B24" s="11"/>
      <c r="C24" s="10"/>
      <c r="D24" s="11"/>
      <c r="E24" s="11"/>
      <c r="F24" s="11"/>
      <c r="G24" s="12"/>
      <c r="H24" s="10"/>
      <c r="I24" s="30"/>
    </row>
    <row r="25" spans="1:9" ht="15.75" thickBot="1">
      <c r="A25" s="31" t="s">
        <v>10</v>
      </c>
      <c r="B25" s="32">
        <v>20000</v>
      </c>
      <c r="C25" s="32">
        <v>21000</v>
      </c>
      <c r="D25" s="32">
        <v>27000</v>
      </c>
      <c r="E25" s="32">
        <v>19000</v>
      </c>
      <c r="F25" s="32">
        <v>25000</v>
      </c>
      <c r="G25" s="33">
        <v>29000</v>
      </c>
      <c r="H25" s="34"/>
      <c r="I25" s="35"/>
    </row>
    <row r="26" spans="1:9">
      <c r="D26" s="5"/>
      <c r="E26" s="5"/>
    </row>
    <row r="37" spans="5:5">
      <c r="E37" s="5"/>
    </row>
  </sheetData>
  <mergeCells count="2">
    <mergeCell ref="A13:I13"/>
    <mergeCell ref="A14:I14"/>
  </mergeCells>
  <phoneticPr fontId="4" type="noConversion"/>
  <pageMargins left="0.75" right="0.75" top="1" bottom="1" header="0.5" footer="0.5"/>
  <headerFooter>
    <oddHeader>&amp;CYour Name — Period X — FINAL PART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B1" sqref="B1"/>
    </sheetView>
  </sheetViews>
  <sheetFormatPr defaultRowHeight="15"/>
  <cols>
    <col min="1" max="1" width="13.85546875" bestFit="1" customWidth="1"/>
    <col min="2" max="2" width="17.42578125" bestFit="1" customWidth="1"/>
    <col min="5" max="5" width="22.42578125" bestFit="1" customWidth="1"/>
    <col min="6" max="6" width="10.85546875" bestFit="1" customWidth="1"/>
  </cols>
  <sheetData>
    <row r="1" spans="1:6">
      <c r="A1" s="2" t="s">
        <v>11</v>
      </c>
      <c r="B1" s="2" t="s">
        <v>12</v>
      </c>
      <c r="C1" s="2"/>
      <c r="D1" s="2" t="s">
        <v>13</v>
      </c>
      <c r="E1" s="2" t="s">
        <v>24</v>
      </c>
      <c r="F1" s="2" t="s">
        <v>10</v>
      </c>
    </row>
    <row r="2" spans="1:6">
      <c r="A2" s="3" t="s">
        <v>2</v>
      </c>
      <c r="B2" s="4">
        <f>niaz!I16</f>
        <v>4407</v>
      </c>
      <c r="C2" s="3"/>
      <c r="D2" s="3" t="s">
        <v>14</v>
      </c>
      <c r="E2" s="4">
        <f>niaz!B23</f>
        <v>52039</v>
      </c>
      <c r="F2" s="4">
        <f>niaz!B25</f>
        <v>20000</v>
      </c>
    </row>
    <row r="3" spans="1:6">
      <c r="A3" s="3" t="s">
        <v>3</v>
      </c>
      <c r="B3" s="4">
        <f>niaz!I17</f>
        <v>30315</v>
      </c>
      <c r="C3" s="3"/>
      <c r="D3" s="3" t="s">
        <v>15</v>
      </c>
      <c r="E3" s="4">
        <f>niaz!C23</f>
        <v>52043</v>
      </c>
      <c r="F3" s="4">
        <f>niaz!C25</f>
        <v>21000</v>
      </c>
    </row>
    <row r="4" spans="1:6">
      <c r="A4" s="3" t="s">
        <v>4</v>
      </c>
      <c r="B4" s="4">
        <f>niaz!I18</f>
        <v>21000</v>
      </c>
      <c r="C4" s="3"/>
      <c r="D4" s="3" t="s">
        <v>16</v>
      </c>
      <c r="E4" s="4">
        <f>niaz!D23</f>
        <v>52047</v>
      </c>
      <c r="F4" s="4">
        <f>niaz!D25</f>
        <v>27000</v>
      </c>
    </row>
    <row r="5" spans="1:6">
      <c r="A5" s="3" t="s">
        <v>5</v>
      </c>
      <c r="B5" s="4">
        <f>niaz!I19</f>
        <v>9015</v>
      </c>
      <c r="C5" s="3"/>
      <c r="D5" s="3" t="s">
        <v>17</v>
      </c>
      <c r="E5" s="4">
        <f>niaz!E23</f>
        <v>52051</v>
      </c>
      <c r="F5" s="4">
        <f>niaz!E25</f>
        <v>19000</v>
      </c>
    </row>
    <row r="6" spans="1:6">
      <c r="A6" s="3" t="s">
        <v>6</v>
      </c>
      <c r="B6" s="4">
        <f>niaz!I20</f>
        <v>120000</v>
      </c>
      <c r="C6" s="3"/>
      <c r="D6" s="3" t="s">
        <v>18</v>
      </c>
      <c r="E6" s="4">
        <f>niaz!F23</f>
        <v>52055</v>
      </c>
      <c r="F6" s="4">
        <f>niaz!F25</f>
        <v>25000</v>
      </c>
    </row>
    <row r="7" spans="1:6">
      <c r="A7" s="3" t="s">
        <v>7</v>
      </c>
      <c r="B7" s="4">
        <f>niaz!I21</f>
        <v>60000</v>
      </c>
      <c r="C7" s="3"/>
      <c r="D7" s="3" t="s">
        <v>19</v>
      </c>
      <c r="E7" s="4">
        <f>niaz!G23</f>
        <v>52059</v>
      </c>
      <c r="F7" s="4">
        <f>niaz!G25</f>
        <v>29000</v>
      </c>
    </row>
    <row r="8" spans="1:6">
      <c r="A8" s="3" t="s">
        <v>8</v>
      </c>
      <c r="B8" s="4">
        <f>niaz!I22</f>
        <v>45549</v>
      </c>
      <c r="C8" s="3"/>
      <c r="D8" s="3"/>
      <c r="E8" s="3"/>
      <c r="F8" s="3"/>
    </row>
    <row r="10" spans="1:6">
      <c r="A10" s="1" t="s">
        <v>20</v>
      </c>
      <c r="B10" t="s">
        <v>21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niaz</vt:lpstr>
      <vt:lpstr>hasan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WDPF PC-08</cp:lastModifiedBy>
  <dcterms:created xsi:type="dcterms:W3CDTF">2025-12-12T04:21:16Z</dcterms:created>
  <dcterms:modified xsi:type="dcterms:W3CDTF">2026-01-20T03:39:59Z</dcterms:modified>
</cp:coreProperties>
</file>