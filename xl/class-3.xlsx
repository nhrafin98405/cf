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afin\xl\"/>
    </mc:Choice>
  </mc:AlternateContent>
  <xr:revisionPtr revIDLastSave="0" documentId="13_ncr:1_{DD16551B-2C37-4D3B-99AD-940D28A3B5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M9" i="1"/>
  <c r="M10" i="1"/>
  <c r="M11" i="1"/>
  <c r="M12" i="1"/>
  <c r="M13" i="1"/>
  <c r="M14" i="1"/>
  <c r="M15" i="1"/>
  <c r="M16" i="1"/>
  <c r="M17" i="1"/>
  <c r="M18" i="1"/>
  <c r="M8" i="1"/>
  <c r="L8" i="1"/>
  <c r="K9" i="1"/>
  <c r="L9" i="1" s="1"/>
  <c r="K10" i="1"/>
  <c r="K11" i="1"/>
  <c r="K12" i="1"/>
  <c r="K13" i="1"/>
  <c r="K14" i="1"/>
  <c r="K15" i="1"/>
  <c r="K16" i="1"/>
  <c r="K17" i="1"/>
  <c r="K18" i="1"/>
  <c r="O8" i="1"/>
  <c r="N9" i="1"/>
  <c r="N10" i="1"/>
  <c r="N11" i="1"/>
  <c r="N12" i="1"/>
  <c r="N13" i="1"/>
  <c r="N14" i="1"/>
  <c r="N15" i="1"/>
  <c r="N16" i="1"/>
  <c r="N17" i="1"/>
  <c r="N18" i="1"/>
  <c r="N8" i="1"/>
  <c r="L10" i="1"/>
  <c r="L11" i="1"/>
  <c r="L12" i="1"/>
  <c r="L13" i="1"/>
  <c r="L14" i="1"/>
  <c r="L15" i="1"/>
  <c r="L16" i="1"/>
  <c r="L17" i="1"/>
  <c r="L18" i="1"/>
  <c r="K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</calcChain>
</file>

<file path=xl/sharedStrings.xml><?xml version="1.0" encoding="utf-8"?>
<sst xmlns="http://schemas.openxmlformats.org/spreadsheetml/2006/main" count="21" uniqueCount="21">
  <si>
    <t>gread</t>
  </si>
  <si>
    <t>result</t>
  </si>
  <si>
    <t>avarage marks</t>
  </si>
  <si>
    <t>max</t>
  </si>
  <si>
    <t>min</t>
  </si>
  <si>
    <t>id</t>
  </si>
  <si>
    <t>name</t>
  </si>
  <si>
    <t>ict</t>
  </si>
  <si>
    <t>english</t>
  </si>
  <si>
    <t>math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</si>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</sst>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0" fillId="0" borderId="2" xfId="0" applyBorder="1"/>
    <xf numFmtId="1" fontId="0" fillId="0" borderId="2" xfId="0" applyNumberFormat="1" applyBorder="1"/>
    <xf numFmtId="0" fontId="2" fillId="2" borderId="1" xfId="1"/>
    <xf numFmtId="0" fontId="1" fillId="3" borderId="2" xfId="2" applyBorder="1"/>
    <xf numFmtId="0" fontId="1" fillId="4" borderId="2" xfId="3" applyBorder="1"/>
  </cellXfs>
  <cellStyles count="4">
    <cellStyle name="40% - Accent1" xfId="2" builtinId="31"/>
    <cellStyle name="60% - Accent2" xfId="3" builtinId="36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O49"/>
  <sheetViews>
    <sheetView tabSelected="1" topLeftCell="A4" workbookViewId="0">
      <selection activeCell="I24" sqref="I24"/>
    </sheetView>
  </sheetViews>
  <sheetFormatPr defaultRowHeight="15" x14ac:dyDescent="0.25"/>
  <cols>
    <col min="2" max="2" width="11.140625" bestFit="1" customWidth="1"/>
    <col min="4" max="4" width="11.42578125" bestFit="1" customWidth="1"/>
    <col min="7" max="7" width="11.42578125" bestFit="1" customWidth="1"/>
    <col min="11" max="11" width="15.7109375" bestFit="1" customWidth="1"/>
  </cols>
  <sheetData>
    <row r="6" spans="6:15" ht="15.75" thickBot="1" x14ac:dyDescent="0.3"/>
    <row r="7" spans="6:15" ht="16.5" thickTop="1" thickBot="1" x14ac:dyDescent="0.3"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2</v>
      </c>
      <c r="L7" s="3" t="s">
        <v>0</v>
      </c>
      <c r="M7" s="3" t="s">
        <v>1</v>
      </c>
      <c r="N7" s="3" t="s">
        <v>3</v>
      </c>
      <c r="O7" s="3" t="s">
        <v>4</v>
      </c>
    </row>
    <row r="8" spans="6:15" ht="15.75" thickTop="1" x14ac:dyDescent="0.25">
      <c r="F8" s="4">
        <v>101</v>
      </c>
      <c r="G8" s="5" t="s">
        <v>10</v>
      </c>
      <c r="H8" s="1">
        <v>23</v>
      </c>
      <c r="I8" s="1">
        <v>56</v>
      </c>
      <c r="J8" s="1">
        <v>78</v>
      </c>
      <c r="K8" s="2">
        <f>AVERAGE(H8,I8,J8)</f>
        <v>52.333333333333336</v>
      </c>
      <c r="L8" s="1" t="str">
        <f>IF(K8&lt;33,"f",IF(K8&lt;=40,"c",IF(K8&lt;=50,"b-",IF(K8&lt;=60,"b",IF(K8&lt;=70,"b+",IF(K8&lt;=80,"a-",IF(K8&lt;=90,"a-",IF(K8&lt;=100,"a+"))))))))</f>
        <v>b</v>
      </c>
      <c r="M8" s="1" t="str">
        <f>IF(K8&gt;=60,"pass","fail")</f>
        <v>fail</v>
      </c>
      <c r="N8" s="1">
        <f>MAX(H8,I8,J8,)</f>
        <v>78</v>
      </c>
      <c r="O8" s="1">
        <f>MIN(H8,I8,J8)</f>
        <v>23</v>
      </c>
    </row>
    <row r="9" spans="6:15" x14ac:dyDescent="0.25">
      <c r="F9" s="4">
        <v>102</v>
      </c>
      <c r="G9" s="5" t="s">
        <v>11</v>
      </c>
      <c r="H9" s="1">
        <v>44</v>
      </c>
      <c r="I9" s="1">
        <v>48</v>
      </c>
      <c r="J9" s="1">
        <v>54</v>
      </c>
      <c r="K9" s="2">
        <f t="shared" ref="K9:K18" si="0">AVERAGE(H9,I9,J9)</f>
        <v>48.666666666666664</v>
      </c>
      <c r="L9" s="1" t="str">
        <f t="shared" ref="L9:L18" si="1">IF(K9&lt;33,"f",IF(K9&lt;=40,"c",IF(K9&lt;=50,"b-",IF(K9&lt;=60,"b",IF(K9&lt;=70,"b+",IF(K9&lt;=80,"a-",IF(K9&lt;=90,"a-",IF(K9&lt;=100,"a+"))))))))</f>
        <v>b-</v>
      </c>
      <c r="M9" s="1" t="str">
        <f t="shared" ref="M9:M18" si="2">IF(K9&gt;=60,"pass","fail")</f>
        <v>fail</v>
      </c>
      <c r="N9" s="1">
        <f t="shared" ref="N9:N18" si="3">MAX(H9,I9,J9,)</f>
        <v>54</v>
      </c>
      <c r="O9" s="1">
        <f t="shared" ref="O9:O18" si="4">MIN(H9,I9,J9)</f>
        <v>44</v>
      </c>
    </row>
    <row r="10" spans="6:15" x14ac:dyDescent="0.25">
      <c r="F10" s="4">
        <v>103</v>
      </c>
      <c r="G10" s="5" t="s">
        <v>12</v>
      </c>
      <c r="H10" s="1">
        <v>50</v>
      </c>
      <c r="I10" s="1">
        <v>24</v>
      </c>
      <c r="J10" s="1">
        <v>68</v>
      </c>
      <c r="K10" s="2">
        <f t="shared" si="0"/>
        <v>47.333333333333336</v>
      </c>
      <c r="L10" s="1" t="str">
        <f t="shared" si="1"/>
        <v>b-</v>
      </c>
      <c r="M10" s="1" t="str">
        <f t="shared" si="2"/>
        <v>fail</v>
      </c>
      <c r="N10" s="1">
        <f t="shared" si="3"/>
        <v>68</v>
      </c>
      <c r="O10" s="1">
        <f t="shared" si="4"/>
        <v>24</v>
      </c>
    </row>
    <row r="11" spans="6:15" x14ac:dyDescent="0.25">
      <c r="F11" s="4">
        <v>104</v>
      </c>
      <c r="G11" s="5" t="s">
        <v>13</v>
      </c>
      <c r="H11" s="1">
        <v>70</v>
      </c>
      <c r="I11" s="1">
        <v>89</v>
      </c>
      <c r="J11" s="1">
        <v>89</v>
      </c>
      <c r="K11" s="2">
        <f t="shared" si="0"/>
        <v>82.666666666666671</v>
      </c>
      <c r="L11" s="1" t="str">
        <f t="shared" si="1"/>
        <v>a-</v>
      </c>
      <c r="M11" s="1" t="str">
        <f t="shared" si="2"/>
        <v>pass</v>
      </c>
      <c r="N11" s="1">
        <f t="shared" si="3"/>
        <v>89</v>
      </c>
      <c r="O11" s="1">
        <f t="shared" si="4"/>
        <v>70</v>
      </c>
    </row>
    <row r="12" spans="6:15" x14ac:dyDescent="0.25">
      <c r="F12" s="4">
        <v>105</v>
      </c>
      <c r="G12" s="5" t="s">
        <v>14</v>
      </c>
      <c r="H12" s="1">
        <v>64</v>
      </c>
      <c r="I12" s="1">
        <v>64</v>
      </c>
      <c r="J12" s="1">
        <v>44</v>
      </c>
      <c r="K12" s="2">
        <f t="shared" si="0"/>
        <v>57.333333333333336</v>
      </c>
      <c r="L12" s="1" t="str">
        <f t="shared" si="1"/>
        <v>b</v>
      </c>
      <c r="M12" s="1" t="str">
        <f t="shared" si="2"/>
        <v>fail</v>
      </c>
      <c r="N12" s="1">
        <f t="shared" si="3"/>
        <v>64</v>
      </c>
      <c r="O12" s="1">
        <f t="shared" si="4"/>
        <v>44</v>
      </c>
    </row>
    <row r="13" spans="6:15" x14ac:dyDescent="0.25">
      <c r="F13" s="4">
        <v>106</v>
      </c>
      <c r="G13" s="5" t="s">
        <v>15</v>
      </c>
      <c r="H13" s="1">
        <v>45</v>
      </c>
      <c r="I13" s="1">
        <v>85</v>
      </c>
      <c r="J13" s="1">
        <v>55</v>
      </c>
      <c r="K13" s="2">
        <f t="shared" si="0"/>
        <v>61.666666666666664</v>
      </c>
      <c r="L13" s="1" t="str">
        <f t="shared" si="1"/>
        <v>b+</v>
      </c>
      <c r="M13" s="1" t="str">
        <f t="shared" si="2"/>
        <v>pass</v>
      </c>
      <c r="N13" s="1">
        <f t="shared" si="3"/>
        <v>85</v>
      </c>
      <c r="O13" s="1">
        <f t="shared" si="4"/>
        <v>45</v>
      </c>
    </row>
    <row r="14" spans="6:15" x14ac:dyDescent="0.25">
      <c r="F14" s="4">
        <v>107</v>
      </c>
      <c r="G14" s="5" t="s">
        <v>16</v>
      </c>
      <c r="H14" s="1">
        <v>48</v>
      </c>
      <c r="I14" s="1">
        <v>75</v>
      </c>
      <c r="J14" s="1">
        <v>87</v>
      </c>
      <c r="K14" s="2">
        <f t="shared" si="0"/>
        <v>70</v>
      </c>
      <c r="L14" s="1" t="str">
        <f t="shared" si="1"/>
        <v>b+</v>
      </c>
      <c r="M14" s="1" t="str">
        <f t="shared" si="2"/>
        <v>pass</v>
      </c>
      <c r="N14" s="1">
        <f t="shared" si="3"/>
        <v>87</v>
      </c>
      <c r="O14" s="1">
        <f t="shared" si="4"/>
        <v>48</v>
      </c>
    </row>
    <row r="15" spans="6:15" x14ac:dyDescent="0.25">
      <c r="F15" s="4">
        <v>108</v>
      </c>
      <c r="G15" s="5" t="s">
        <v>17</v>
      </c>
      <c r="H15" s="1">
        <v>78</v>
      </c>
      <c r="I15" s="1">
        <v>78</v>
      </c>
      <c r="J15" s="1">
        <v>99</v>
      </c>
      <c r="K15" s="2">
        <f t="shared" si="0"/>
        <v>85</v>
      </c>
      <c r="L15" s="1" t="str">
        <f t="shared" si="1"/>
        <v>a-</v>
      </c>
      <c r="M15" s="1" t="str">
        <f t="shared" si="2"/>
        <v>pass</v>
      </c>
      <c r="N15" s="1">
        <f t="shared" si="3"/>
        <v>99</v>
      </c>
      <c r="O15" s="1">
        <f t="shared" si="4"/>
        <v>78</v>
      </c>
    </row>
    <row r="16" spans="6:15" x14ac:dyDescent="0.25">
      <c r="F16" s="4">
        <v>109</v>
      </c>
      <c r="G16" s="5" t="s">
        <v>18</v>
      </c>
      <c r="H16" s="1">
        <v>78</v>
      </c>
      <c r="I16" s="1">
        <v>45</v>
      </c>
      <c r="J16" s="1">
        <v>46</v>
      </c>
      <c r="K16" s="2">
        <f t="shared" si="0"/>
        <v>56.333333333333336</v>
      </c>
      <c r="L16" s="1" t="str">
        <f t="shared" si="1"/>
        <v>b</v>
      </c>
      <c r="M16" s="1" t="str">
        <f t="shared" si="2"/>
        <v>fail</v>
      </c>
      <c r="N16" s="1">
        <f t="shared" si="3"/>
        <v>78</v>
      </c>
      <c r="O16" s="1">
        <f t="shared" si="4"/>
        <v>45</v>
      </c>
    </row>
    <row r="17" spans="2:15" x14ac:dyDescent="0.25">
      <c r="F17" s="4">
        <v>110</v>
      </c>
      <c r="G17" s="5" t="s">
        <v>19</v>
      </c>
      <c r="H17" s="1">
        <v>89</v>
      </c>
      <c r="I17" s="1">
        <v>79</v>
      </c>
      <c r="J17" s="1">
        <v>64</v>
      </c>
      <c r="K17" s="2">
        <f t="shared" si="0"/>
        <v>77.333333333333329</v>
      </c>
      <c r="L17" s="1" t="str">
        <f t="shared" si="1"/>
        <v>a-</v>
      </c>
      <c r="M17" s="1" t="str">
        <f t="shared" si="2"/>
        <v>pass</v>
      </c>
      <c r="N17" s="1">
        <f t="shared" si="3"/>
        <v>89</v>
      </c>
      <c r="O17" s="1">
        <f t="shared" si="4"/>
        <v>64</v>
      </c>
    </row>
    <row r="18" spans="2:15" x14ac:dyDescent="0.25">
      <c r="F18" s="4">
        <v>111</v>
      </c>
      <c r="G18" s="5" t="s">
        <v>20</v>
      </c>
      <c r="H18" s="1">
        <v>100</v>
      </c>
      <c r="I18" s="1">
        <v>100</v>
      </c>
      <c r="J18" s="1">
        <v>100</v>
      </c>
      <c r="K18" s="2">
        <f t="shared" si="0"/>
        <v>100</v>
      </c>
      <c r="L18" s="1" t="str">
        <f t="shared" si="1"/>
        <v>a+</v>
      </c>
      <c r="M18" s="1" t="str">
        <f t="shared" si="2"/>
        <v>pass</v>
      </c>
      <c r="N18" s="1">
        <f t="shared" si="3"/>
        <v>100</v>
      </c>
      <c r="O18" s="1">
        <f t="shared" si="4"/>
        <v>100</v>
      </c>
    </row>
    <row r="19" spans="2:15" x14ac:dyDescent="0.25">
      <c r="B19" t="str">
        <f t="shared" ref="B1:B49" si="5">UPPER(A19)</f>
        <v/>
      </c>
    </row>
    <row r="20" spans="2:15" x14ac:dyDescent="0.25">
      <c r="B20" t="str">
        <f t="shared" si="5"/>
        <v/>
      </c>
    </row>
    <row r="21" spans="2:15" x14ac:dyDescent="0.25">
      <c r="B21" t="str">
        <f t="shared" si="5"/>
        <v/>
      </c>
    </row>
    <row r="22" spans="2:15" x14ac:dyDescent="0.25">
      <c r="B22" t="str">
        <f t="shared" si="5"/>
        <v/>
      </c>
    </row>
    <row r="23" spans="2:15" x14ac:dyDescent="0.25">
      <c r="B23" t="str">
        <f t="shared" si="5"/>
        <v/>
      </c>
    </row>
    <row r="24" spans="2:15" x14ac:dyDescent="0.25">
      <c r="B24" t="str">
        <f t="shared" si="5"/>
        <v/>
      </c>
    </row>
    <row r="25" spans="2:15" x14ac:dyDescent="0.25">
      <c r="B25" t="str">
        <f t="shared" si="5"/>
        <v/>
      </c>
    </row>
    <row r="26" spans="2:15" x14ac:dyDescent="0.25">
      <c r="B26" t="str">
        <f t="shared" si="5"/>
        <v/>
      </c>
    </row>
    <row r="27" spans="2:15" x14ac:dyDescent="0.25">
      <c r="B27" t="str">
        <f t="shared" si="5"/>
        <v/>
      </c>
    </row>
    <row r="28" spans="2:15" x14ac:dyDescent="0.25">
      <c r="B28" t="str">
        <f t="shared" si="5"/>
        <v/>
      </c>
    </row>
    <row r="29" spans="2:15" x14ac:dyDescent="0.25">
      <c r="B29" t="str">
        <f t="shared" si="5"/>
        <v/>
      </c>
    </row>
    <row r="30" spans="2:15" x14ac:dyDescent="0.25">
      <c r="B30" t="str">
        <f t="shared" si="5"/>
        <v/>
      </c>
    </row>
    <row r="31" spans="2:15" x14ac:dyDescent="0.25">
      <c r="B31" t="str">
        <f t="shared" si="5"/>
        <v/>
      </c>
    </row>
    <row r="32" spans="2:15" x14ac:dyDescent="0.25">
      <c r="B32" t="str">
        <f t="shared" si="5"/>
        <v/>
      </c>
    </row>
    <row r="33" spans="2:2" x14ac:dyDescent="0.25">
      <c r="B33" t="str">
        <f t="shared" si="5"/>
        <v/>
      </c>
    </row>
    <row r="34" spans="2:2" x14ac:dyDescent="0.25">
      <c r="B34" t="str">
        <f t="shared" si="5"/>
        <v/>
      </c>
    </row>
    <row r="35" spans="2:2" x14ac:dyDescent="0.25">
      <c r="B35" t="str">
        <f t="shared" si="5"/>
        <v/>
      </c>
    </row>
    <row r="36" spans="2:2" x14ac:dyDescent="0.25">
      <c r="B36" t="str">
        <f t="shared" si="5"/>
        <v/>
      </c>
    </row>
    <row r="37" spans="2:2" x14ac:dyDescent="0.25">
      <c r="B37" t="str">
        <f t="shared" si="5"/>
        <v/>
      </c>
    </row>
    <row r="38" spans="2:2" x14ac:dyDescent="0.25">
      <c r="B38" t="str">
        <f t="shared" si="5"/>
        <v/>
      </c>
    </row>
    <row r="39" spans="2:2" x14ac:dyDescent="0.25">
      <c r="B39" t="str">
        <f t="shared" si="5"/>
        <v/>
      </c>
    </row>
    <row r="40" spans="2:2" x14ac:dyDescent="0.25">
      <c r="B40" t="str">
        <f t="shared" si="5"/>
        <v/>
      </c>
    </row>
    <row r="41" spans="2:2" x14ac:dyDescent="0.25">
      <c r="B41" t="str">
        <f t="shared" si="5"/>
        <v/>
      </c>
    </row>
    <row r="42" spans="2:2" x14ac:dyDescent="0.25">
      <c r="B42" t="str">
        <f t="shared" si="5"/>
        <v/>
      </c>
    </row>
    <row r="43" spans="2:2" x14ac:dyDescent="0.25">
      <c r="B43" t="str">
        <f t="shared" si="5"/>
        <v/>
      </c>
    </row>
    <row r="44" spans="2:2" x14ac:dyDescent="0.25">
      <c r="B44" t="str">
        <f t="shared" si="5"/>
        <v/>
      </c>
    </row>
    <row r="45" spans="2:2" x14ac:dyDescent="0.25">
      <c r="B45" t="str">
        <f t="shared" si="5"/>
        <v/>
      </c>
    </row>
    <row r="46" spans="2:2" x14ac:dyDescent="0.25">
      <c r="B46" t="str">
        <f t="shared" si="5"/>
        <v/>
      </c>
    </row>
    <row r="47" spans="2:2" x14ac:dyDescent="0.25">
      <c r="B47" t="str">
        <f t="shared" si="5"/>
        <v/>
      </c>
    </row>
    <row r="48" spans="2:2" x14ac:dyDescent="0.25">
      <c r="B48" t="str">
        <f t="shared" si="5"/>
        <v/>
      </c>
    </row>
    <row r="49" spans="2:2" x14ac:dyDescent="0.25">
      <c r="B49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2015-06-05T18:17:20Z</dcterms:created>
  <dcterms:modified xsi:type="dcterms:W3CDTF">2026-01-18T07:06:56Z</dcterms:modified>
</cp:coreProperties>
</file>